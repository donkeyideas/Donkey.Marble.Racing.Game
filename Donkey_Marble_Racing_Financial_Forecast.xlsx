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icing Matrix" sheetId="2" state="visible" r:id="rId2"/>
    <sheet name="60-Month Forecast" sheetId="3" state="visible" r:id="rId3"/>
    <sheet name="Revenue Streams" sheetId="4" state="visible" r:id="rId4"/>
    <sheet name="KPIs &amp; Unit Economics" sheetId="5" state="visible" r:id="rId5"/>
    <sheet name="Scenario Planner" sheetId="6" state="visible" r:id="rId6"/>
    <sheet name="Milestones &amp; Checklist" sheetId="7" state="visible" r:id="rId7"/>
    <sheet name="Fee Optimizer" sheetId="8" state="visible" r:id="rId8"/>
    <sheet name="Ch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0A1A3A"/>
      <sz val="18"/>
    </font>
    <font>
      <name val="Calibri"/>
      <color rgb="00666666"/>
      <sz val="12"/>
    </font>
    <font>
      <name val="Calibri"/>
      <b val="1"/>
      <color rgb="00FFC220"/>
      <sz val="12"/>
    </font>
    <font>
      <b val="1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sz val="12"/>
    </font>
    <font>
      <i val="1"/>
      <color rgb="00666666"/>
    </font>
    <font>
      <color rgb="00E74C3C"/>
    </font>
    <font>
      <color rgb="002ECC71"/>
    </font>
    <font>
      <i val="1"/>
      <color rgb="00888888"/>
    </font>
    <font>
      <b val="1"/>
      <color rgb="002ECC71"/>
    </font>
  </fonts>
  <fills count="10">
    <fill>
      <patternFill/>
    </fill>
    <fill>
      <patternFill patternType="gray125"/>
    </fill>
    <fill>
      <patternFill patternType="solid">
        <fgColor rgb="00FFC220"/>
        <bgColor rgb="00FFC220"/>
      </patternFill>
    </fill>
    <fill>
      <patternFill patternType="solid">
        <fgColor rgb="002C3E6B"/>
        <bgColor rgb="002C3E6B"/>
      </patternFill>
    </fill>
    <fill>
      <patternFill patternType="solid">
        <fgColor rgb="00EBF5FB"/>
        <bgColor rgb="00EBF5FB"/>
      </patternFill>
    </fill>
    <fill>
      <patternFill patternType="solid">
        <fgColor rgb="000A1A3A"/>
        <bgColor rgb="000A1A3A"/>
      </patternFill>
    </fill>
    <fill>
      <patternFill patternType="solid">
        <fgColor rgb="001A2E5A"/>
        <bgColor rgb="001A2E5A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5" borderId="0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3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5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8" fillId="0" borderId="0" pivotButton="0" quotePrefix="0" xfId="0"/>
    <xf numFmtId="3" fontId="8" fillId="2" borderId="1" pivotButton="0" quotePrefix="0" xfId="0"/>
    <xf numFmtId="164" fontId="8" fillId="2" borderId="1" pivotButton="0" quotePrefix="0" xfId="0"/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pivotButton="0" quotePrefix="0" xfId="0"/>
    <xf numFmtId="165" fontId="4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8" fillId="2" borderId="1" pivotButton="0" quotePrefix="0" xfId="0"/>
    <xf numFmtId="0" fontId="9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User Growth Over 60 Months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>
              <a:solidFill>
                <a:srgbClr val="6EC1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'Charts'!$B$2:$B$61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solidFill>
                <a:srgbClr val="2ECC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'Charts'!$C$2:$C$61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solidFill>
                <a:srgbClr val="FFC2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'Charts'!$D$2:$D$61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(Gross vs Net vs Profit)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'Charts'!E1</f>
            </strRef>
          </tx>
          <spPr>
            <a:ln>
              <a:solidFill>
                <a:srgbClr val="FFC2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'Charts'!$E$2:$E$61</f>
            </numRef>
          </val>
        </ser>
        <ser>
          <idx val="1"/>
          <order val="1"/>
          <tx>
            <strRef>
              <f>'Charts'!F1</f>
            </strRef>
          </tx>
          <spPr>
            <a:ln>
              <a:solidFill>
                <a:srgbClr val="2ECC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'Charts'!$F$2:$F$61</f>
            </numRef>
          </val>
        </ser>
        <ser>
          <idx val="2"/>
          <order val="2"/>
          <tx>
            <strRef>
              <f>'Charts'!G1</f>
            </strRef>
          </tx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'Charts'!$G$2:$G$61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Profit/Loss Over 60 Months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'Charts'!H1</f>
            </strRef>
          </tx>
          <spPr>
            <a:ln>
              <a:solidFill>
                <a:srgbClr val="2ECC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'Charts'!$A$2:$A$61</f>
            </numRef>
          </cat>
          <val>
            <numRef>
              <f>'Charts'!$H$2:$H$61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1152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37</row>
      <rowOff>0</rowOff>
    </from>
    <ext cx="11520000" cy="57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FC22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DONKEY MARBLE RACING — FINANCIAL FORECAST DASHBOARD</t>
        </is>
      </c>
    </row>
    <row r="2">
      <c r="A2" s="2" t="inlineStr">
        <is>
          <t>60-Month Business Plan &amp; Revenue Projections</t>
        </is>
      </c>
    </row>
    <row r="4">
      <c r="A4" s="3" t="inlineStr">
        <is>
          <t>KEY ASSUMPTIONS</t>
        </is>
      </c>
      <c r="B4" s="3" t="n"/>
      <c r="C4" s="3" t="n"/>
      <c r="D4" s="3" t="n"/>
      <c r="E4" s="3" t="n"/>
      <c r="F4" s="3" t="inlineStr">
        <is>
          <t>REVENUE STREAMS</t>
        </is>
      </c>
      <c r="G4" s="3" t="n"/>
      <c r="H4" s="3" t="n"/>
    </row>
    <row r="5">
      <c r="A5" s="4" t="inlineStr">
        <is>
          <t>Launch Platform</t>
        </is>
      </c>
      <c r="B5" s="5" t="inlineStr">
        <is>
          <t>iOS + Android (simultaneous)</t>
        </is>
      </c>
      <c r="C5" s="6" t="n"/>
      <c r="D5" s="6" t="n"/>
      <c r="F5" s="4" t="inlineStr">
        <is>
          <t>Coin Packs (IAP)</t>
        </is>
      </c>
      <c r="G5" s="5" t="inlineStr">
        <is>
          <t>$0.99 - $24.99</t>
        </is>
      </c>
      <c r="H5" s="5" t="inlineStr">
        <is>
          <t>Primary</t>
        </is>
      </c>
    </row>
    <row r="6">
      <c r="A6" s="7" t="inlineStr">
        <is>
          <t>Apple App Store Fee</t>
        </is>
      </c>
      <c r="B6" s="8" t="inlineStr">
        <is>
          <t>30% (15% under Small Business Program &lt; $1M/yr)</t>
        </is>
      </c>
      <c r="F6" s="7" t="inlineStr">
        <is>
          <t>Season Pass — Premium</t>
        </is>
      </c>
      <c r="G6" s="8" t="inlineStr">
        <is>
          <t>$9.99/season</t>
        </is>
      </c>
      <c r="H6" s="8" t="inlineStr">
        <is>
          <t>Recurring</t>
        </is>
      </c>
    </row>
    <row r="7">
      <c r="A7" s="4" t="inlineStr">
        <is>
          <t>Google Play Fee</t>
        </is>
      </c>
      <c r="B7" s="5" t="inlineStr">
        <is>
          <t>15% (first $1M/yr), then 30%</t>
        </is>
      </c>
      <c r="C7" s="6" t="n"/>
      <c r="D7" s="6" t="n"/>
      <c r="F7" s="4" t="inlineStr">
        <is>
          <t>Season Pass — Plus</t>
        </is>
      </c>
      <c r="G7" s="5" t="inlineStr">
        <is>
          <t>$24.99/season</t>
        </is>
      </c>
      <c r="H7" s="5" t="inlineStr">
        <is>
          <t>Recurring</t>
        </is>
      </c>
    </row>
    <row r="8">
      <c r="A8" s="7" t="inlineStr">
        <is>
          <t>Avg. Conversion Rate (Free→Paid)</t>
        </is>
      </c>
      <c r="B8" s="8" t="inlineStr">
        <is>
          <t>3-5% (industry avg for casual games)</t>
        </is>
      </c>
      <c r="F8" s="7" t="inlineStr">
        <is>
          <t>Future: Ad Revenue (rewarded)</t>
        </is>
      </c>
      <c r="G8" s="8" t="inlineStr">
        <is>
          <t>eCPM $10-30</t>
        </is>
      </c>
      <c r="H8" s="8" t="inlineStr">
        <is>
          <t>Supplemental</t>
        </is>
      </c>
    </row>
    <row r="9">
      <c r="A9" s="4" t="inlineStr">
        <is>
          <t>Avg. Revenue Per Paying User (ARPPU)</t>
        </is>
      </c>
      <c r="B9" s="5" t="inlineStr">
        <is>
          <t>$8-15/month</t>
        </is>
      </c>
      <c r="C9" s="6" t="n"/>
      <c r="D9" s="6" t="n"/>
      <c r="F9" s="4" t="inlineStr">
        <is>
          <t>Future: Cosmetic Store</t>
        </is>
      </c>
      <c r="G9" s="5" t="inlineStr">
        <is>
          <t>$0.99 - $4.99</t>
        </is>
      </c>
      <c r="H9" s="5" t="inlineStr">
        <is>
          <t>Supplemental</t>
        </is>
      </c>
    </row>
    <row r="10">
      <c r="A10" s="7" t="inlineStr">
        <is>
          <t>Monthly Churn Rate</t>
        </is>
      </c>
      <c r="B10" s="8" t="inlineStr">
        <is>
          <t>8-12% for paying users</t>
        </is>
      </c>
      <c r="F10" s="7" t="inlineStr">
        <is>
          <t>Future: Tournament Entry</t>
        </is>
      </c>
      <c r="G10" s="8" t="inlineStr">
        <is>
          <t>Coin-gated</t>
        </is>
      </c>
      <c r="H10" s="8" t="inlineStr">
        <is>
          <t>Engagement</t>
        </is>
      </c>
    </row>
    <row r="11">
      <c r="A11" s="4" t="inlineStr">
        <is>
          <t>User Acquisition Cost (est.)</t>
        </is>
      </c>
      <c r="B11" s="5" t="inlineStr">
        <is>
          <t>$1.50-3.00 per install</t>
        </is>
      </c>
      <c r="C11" s="6" t="n"/>
      <c r="D11" s="6" t="n"/>
    </row>
    <row r="12">
      <c r="A12" s="7" t="inlineStr">
        <is>
          <t>Organic Install Rate</t>
        </is>
      </c>
      <c r="B12" s="8" t="inlineStr">
        <is>
          <t>40% of total installs</t>
        </is>
      </c>
    </row>
    <row r="13">
      <c r="A13" s="4" t="inlineStr">
        <is>
          <t>Season Length</t>
        </is>
      </c>
      <c r="B13" s="5" t="inlineStr">
        <is>
          <t>30 days</t>
        </is>
      </c>
      <c r="C13" s="6" t="n"/>
      <c r="D13" s="6" t="n"/>
    </row>
    <row r="14">
      <c r="A14" s="7" t="inlineStr">
        <is>
          <t>Daily Active User Rate</t>
        </is>
      </c>
      <c r="B14" s="8" t="inlineStr">
        <is>
          <t>25-35% of total installs</t>
        </is>
      </c>
    </row>
  </sheetData>
  <mergeCells count="14">
    <mergeCell ref="B10:D10"/>
    <mergeCell ref="B11:D11"/>
    <mergeCell ref="B5:D5"/>
    <mergeCell ref="B14:D14"/>
    <mergeCell ref="A4:D4"/>
    <mergeCell ref="A2:H2"/>
    <mergeCell ref="B8:D8"/>
    <mergeCell ref="B9:D9"/>
    <mergeCell ref="B13:D13"/>
    <mergeCell ref="F4:H4"/>
    <mergeCell ref="A1:H1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PRICING MATRIX — REVENUE AFTER APP STORE FEES</t>
        </is>
      </c>
    </row>
    <row r="3">
      <c r="A3" s="3" t="inlineStr">
        <is>
          <t>A. CURRENT IN-APP PURCHASES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10" t="inlineStr">
        <is>
          <t>Product</t>
        </is>
      </c>
      <c r="B4" s="10" t="inlineStr">
        <is>
          <t>Retail Price</t>
        </is>
      </c>
      <c r="C4" s="10" t="inlineStr">
        <is>
          <t>Coins Given</t>
        </is>
      </c>
      <c r="D4" s="10" t="inlineStr">
        <is>
          <t>Coins/Dollar</t>
        </is>
      </c>
      <c r="E4" s="10" t="inlineStr">
        <is>
          <t>Apple 30%
You Receive</t>
        </is>
      </c>
      <c r="F4" s="10" t="inlineStr">
        <is>
          <t>Apple 15%
(Small Biz)
You Receive</t>
        </is>
      </c>
      <c r="G4" s="10" t="inlineStr">
        <is>
          <t>Google 15%
You Receive</t>
        </is>
      </c>
      <c r="H4" s="10" t="inlineStr">
        <is>
          <t>Google 30%
You Receive</t>
        </is>
      </c>
      <c r="I4" s="10" t="inlineStr">
        <is>
          <t>Best Case
(15% fee)</t>
        </is>
      </c>
      <c r="J4" s="10" t="inlineStr">
        <is>
          <t>Worst Case
(30% fee)</t>
        </is>
      </c>
    </row>
    <row r="5">
      <c r="A5" s="11" t="inlineStr">
        <is>
          <t>Starter Pack</t>
        </is>
      </c>
      <c r="B5" s="12" t="n">
        <v>0.99</v>
      </c>
      <c r="C5" s="13" t="n">
        <v>1000</v>
      </c>
      <c r="D5" s="13" t="n">
        <v>1010</v>
      </c>
      <c r="E5" s="12" t="n">
        <v>0.6899999999999999</v>
      </c>
      <c r="F5" s="12" t="n">
        <v>0.84</v>
      </c>
      <c r="G5" s="12" t="n">
        <v>0.84</v>
      </c>
      <c r="H5" s="12" t="n">
        <v>0.6899999999999999</v>
      </c>
      <c r="I5" s="12" t="n">
        <v>0.84</v>
      </c>
      <c r="J5" s="12" t="n">
        <v>0.6899999999999999</v>
      </c>
    </row>
    <row r="6">
      <c r="A6" s="14" t="inlineStr">
        <is>
          <t>Popular Pack</t>
        </is>
      </c>
      <c r="B6" s="15" t="n">
        <v>4.99</v>
      </c>
      <c r="C6" s="16" t="n">
        <v>6000</v>
      </c>
      <c r="D6" s="16" t="n">
        <v>1202</v>
      </c>
      <c r="E6" s="15" t="n">
        <v>3.49</v>
      </c>
      <c r="F6" s="15" t="n">
        <v>4.24</v>
      </c>
      <c r="G6" s="15" t="n">
        <v>4.24</v>
      </c>
      <c r="H6" s="15" t="n">
        <v>3.49</v>
      </c>
      <c r="I6" s="15" t="n">
        <v>4.24</v>
      </c>
      <c r="J6" s="15" t="n">
        <v>3.49</v>
      </c>
    </row>
    <row r="7">
      <c r="A7" s="11" t="inlineStr">
        <is>
          <t>Big Spender</t>
        </is>
      </c>
      <c r="B7" s="12" t="n">
        <v>9.99</v>
      </c>
      <c r="C7" s="13" t="n">
        <v>15000</v>
      </c>
      <c r="D7" s="13" t="n">
        <v>1502</v>
      </c>
      <c r="E7" s="12" t="n">
        <v>6.99</v>
      </c>
      <c r="F7" s="12" t="n">
        <v>8.49</v>
      </c>
      <c r="G7" s="12" t="n">
        <v>8.49</v>
      </c>
      <c r="H7" s="12" t="n">
        <v>6.99</v>
      </c>
      <c r="I7" s="12" t="n">
        <v>8.49</v>
      </c>
      <c r="J7" s="12" t="n">
        <v>6.99</v>
      </c>
    </row>
    <row r="8">
      <c r="A8" s="14" t="inlineStr">
        <is>
          <t>Whale Pack</t>
        </is>
      </c>
      <c r="B8" s="15" t="n">
        <v>24.99</v>
      </c>
      <c r="C8" s="16" t="n">
        <v>40000</v>
      </c>
      <c r="D8" s="16" t="n">
        <v>1601</v>
      </c>
      <c r="E8" s="15" t="n">
        <v>17.49</v>
      </c>
      <c r="F8" s="15" t="n">
        <v>21.24</v>
      </c>
      <c r="G8" s="15" t="n">
        <v>21.24</v>
      </c>
      <c r="H8" s="15" t="n">
        <v>17.49</v>
      </c>
      <c r="I8" s="15" t="n">
        <v>21.24</v>
      </c>
      <c r="J8" s="15" t="n">
        <v>17.49</v>
      </c>
    </row>
    <row r="9">
      <c r="A9" s="11" t="inlineStr">
        <is>
          <t>Season Pass — Premium</t>
        </is>
      </c>
      <c r="B9" s="12" t="n">
        <v>9.99</v>
      </c>
      <c r="C9" s="17" t="inlineStr">
        <is>
          <t>—</t>
        </is>
      </c>
      <c r="D9" s="17" t="inlineStr">
        <is>
          <t>N/A</t>
        </is>
      </c>
      <c r="E9" s="12" t="n">
        <v>6.99</v>
      </c>
      <c r="F9" s="12" t="n">
        <v>8.49</v>
      </c>
      <c r="G9" s="12" t="n">
        <v>8.49</v>
      </c>
      <c r="H9" s="12" t="n">
        <v>6.99</v>
      </c>
      <c r="I9" s="12" t="n">
        <v>8.49</v>
      </c>
      <c r="J9" s="12" t="n">
        <v>6.99</v>
      </c>
    </row>
    <row r="10">
      <c r="A10" s="14" t="inlineStr">
        <is>
          <t>Season Pass — Plus</t>
        </is>
      </c>
      <c r="B10" s="15" t="n">
        <v>24.99</v>
      </c>
      <c r="C10" s="18" t="inlineStr">
        <is>
          <t>—</t>
        </is>
      </c>
      <c r="D10" s="18" t="inlineStr">
        <is>
          <t>N/A</t>
        </is>
      </c>
      <c r="E10" s="15" t="n">
        <v>17.49</v>
      </c>
      <c r="F10" s="15" t="n">
        <v>21.24</v>
      </c>
      <c r="G10" s="15" t="n">
        <v>21.24</v>
      </c>
      <c r="H10" s="15" t="n">
        <v>17.49</v>
      </c>
      <c r="I10" s="15" t="n">
        <v>21.24</v>
      </c>
      <c r="J10" s="15" t="n">
        <v>17.49</v>
      </c>
    </row>
    <row r="13">
      <c r="A13" s="3" t="inlineStr">
        <is>
          <t>B. APP STORE FEE COMPARISON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10" t="inlineStr">
        <is>
          <t>Scenario</t>
        </is>
      </c>
      <c r="B14" s="10" t="inlineStr">
        <is>
          <t>Fee Rate</t>
        </is>
      </c>
      <c r="C14" s="10" t="inlineStr">
        <is>
          <t>On $0.99</t>
        </is>
      </c>
      <c r="D14" s="10" t="inlineStr">
        <is>
          <t>On $4.99</t>
        </is>
      </c>
      <c r="E14" s="10" t="inlineStr">
        <is>
          <t>On $9.99</t>
        </is>
      </c>
      <c r="F14" s="10" t="inlineStr">
        <is>
          <t>On $24.99</t>
        </is>
      </c>
      <c r="G14" s="10" t="inlineStr">
        <is>
          <t>On $100 Revenue</t>
        </is>
      </c>
      <c r="H14" s="10" t="inlineStr">
        <is>
          <t>On $1,000 Revenue</t>
        </is>
      </c>
      <c r="I14" s="10" t="inlineStr">
        <is>
          <t>On $10,000 Revenue</t>
        </is>
      </c>
      <c r="J14" s="10" t="inlineStr">
        <is>
          <t>Annual Impact</t>
        </is>
      </c>
    </row>
    <row r="15">
      <c r="A15" s="17" t="inlineStr">
        <is>
          <t>Apple Standard</t>
        </is>
      </c>
      <c r="B15" s="19" t="n">
        <v>0.3</v>
      </c>
      <c r="C15" s="12" t="n">
        <v>0.3</v>
      </c>
      <c r="D15" s="12" t="n">
        <v>1.5</v>
      </c>
      <c r="E15" s="12" t="n">
        <v>3</v>
      </c>
      <c r="F15" s="12" t="n">
        <v>7.5</v>
      </c>
      <c r="G15" s="12" t="n">
        <v>30</v>
      </c>
      <c r="H15" s="12" t="n">
        <v>300</v>
      </c>
      <c r="I15" s="12" t="n">
        <v>3000</v>
      </c>
      <c r="J15" s="20" t="n">
        <v>150000</v>
      </c>
    </row>
    <row r="16">
      <c r="A16" s="18" t="inlineStr">
        <is>
          <t>Apple Small Business (&lt;$1M)</t>
        </is>
      </c>
      <c r="B16" s="21" t="n">
        <v>0.15</v>
      </c>
      <c r="C16" s="15" t="n">
        <v>0.15</v>
      </c>
      <c r="D16" s="15" t="n">
        <v>0.75</v>
      </c>
      <c r="E16" s="15" t="n">
        <v>1.5</v>
      </c>
      <c r="F16" s="15" t="n">
        <v>3.75</v>
      </c>
      <c r="G16" s="15" t="n">
        <v>15</v>
      </c>
      <c r="H16" s="15" t="n">
        <v>150</v>
      </c>
      <c r="I16" s="15" t="n">
        <v>1500</v>
      </c>
      <c r="J16" s="22" t="n">
        <v>75000</v>
      </c>
    </row>
    <row r="17">
      <c r="A17" s="17" t="inlineStr">
        <is>
          <t>Google Play (first $1M)</t>
        </is>
      </c>
      <c r="B17" s="19" t="n">
        <v>0.15</v>
      </c>
      <c r="C17" s="12" t="n">
        <v>0.15</v>
      </c>
      <c r="D17" s="12" t="n">
        <v>0.75</v>
      </c>
      <c r="E17" s="12" t="n">
        <v>1.5</v>
      </c>
      <c r="F17" s="12" t="n">
        <v>3.75</v>
      </c>
      <c r="G17" s="12" t="n">
        <v>15</v>
      </c>
      <c r="H17" s="12" t="n">
        <v>150</v>
      </c>
      <c r="I17" s="12" t="n">
        <v>1500</v>
      </c>
      <c r="J17" s="20" t="n">
        <v>75000</v>
      </c>
    </row>
    <row r="18">
      <c r="A18" s="18" t="inlineStr">
        <is>
          <t>Google Play (over $1M)</t>
        </is>
      </c>
      <c r="B18" s="21" t="n">
        <v>0.3</v>
      </c>
      <c r="C18" s="15" t="n">
        <v>0.3</v>
      </c>
      <c r="D18" s="15" t="n">
        <v>1.5</v>
      </c>
      <c r="E18" s="15" t="n">
        <v>3</v>
      </c>
      <c r="F18" s="15" t="n">
        <v>7.5</v>
      </c>
      <c r="G18" s="15" t="n">
        <v>30</v>
      </c>
      <c r="H18" s="15" t="n">
        <v>300</v>
      </c>
      <c r="I18" s="15" t="n">
        <v>3000</v>
      </c>
      <c r="J18" s="22" t="n">
        <v>150000</v>
      </c>
    </row>
    <row r="21">
      <c r="A21" s="3" t="inlineStr">
        <is>
          <t>C. UNITS NEEDED TO REACH REVENUE TARGETS (After 15% Fee)</t>
        </is>
      </c>
      <c r="B21" s="3" t="n"/>
      <c r="C21" s="3" t="n"/>
      <c r="D21" s="3" t="n"/>
      <c r="E21" s="3" t="n"/>
      <c r="F21" s="3" t="n"/>
    </row>
    <row r="22">
      <c r="A22" s="10" t="inlineStr">
        <is>
          <t>Product</t>
        </is>
      </c>
      <c r="B22" s="10" t="inlineStr">
        <is>
          <t>Net Per Unit</t>
        </is>
      </c>
      <c r="C22" s="10" t="inlineStr">
        <is>
          <t>Units for $1K/mo</t>
        </is>
      </c>
      <c r="D22" s="10" t="inlineStr">
        <is>
          <t>Units for $5K/mo</t>
        </is>
      </c>
      <c r="E22" s="10" t="inlineStr">
        <is>
          <t>Units for $10K/mo</t>
        </is>
      </c>
      <c r="F22" s="10" t="inlineStr">
        <is>
          <t>Units for $50K/mo</t>
        </is>
      </c>
    </row>
    <row r="23">
      <c r="A23" s="17" t="inlineStr">
        <is>
          <t>Starter Pack</t>
        </is>
      </c>
      <c r="B23" s="12" t="n">
        <v>0.84</v>
      </c>
      <c r="C23" s="13" t="n">
        <v>1191</v>
      </c>
      <c r="D23" s="13" t="n">
        <v>5953</v>
      </c>
      <c r="E23" s="13" t="n">
        <v>11905</v>
      </c>
      <c r="F23" s="13" t="n">
        <v>59524</v>
      </c>
    </row>
    <row r="24">
      <c r="A24" s="18" t="inlineStr">
        <is>
          <t>Popular Pack</t>
        </is>
      </c>
      <c r="B24" s="15" t="n">
        <v>4.24</v>
      </c>
      <c r="C24" s="16" t="n">
        <v>236</v>
      </c>
      <c r="D24" s="16" t="n">
        <v>1180</v>
      </c>
      <c r="E24" s="16" t="n">
        <v>2359</v>
      </c>
      <c r="F24" s="16" t="n">
        <v>11793</v>
      </c>
    </row>
    <row r="25">
      <c r="A25" s="17" t="inlineStr">
        <is>
          <t>Big Spender</t>
        </is>
      </c>
      <c r="B25" s="12" t="n">
        <v>8.49</v>
      </c>
      <c r="C25" s="13" t="n">
        <v>118</v>
      </c>
      <c r="D25" s="13" t="n">
        <v>589</v>
      </c>
      <c r="E25" s="13" t="n">
        <v>1178</v>
      </c>
      <c r="F25" s="13" t="n">
        <v>5890</v>
      </c>
    </row>
    <row r="26">
      <c r="A26" s="18" t="inlineStr">
        <is>
          <t>Whale Pack</t>
        </is>
      </c>
      <c r="B26" s="15" t="n">
        <v>21.24</v>
      </c>
      <c r="C26" s="16" t="n">
        <v>48</v>
      </c>
      <c r="D26" s="16" t="n">
        <v>236</v>
      </c>
      <c r="E26" s="16" t="n">
        <v>471</v>
      </c>
      <c r="F26" s="16" t="n">
        <v>2355</v>
      </c>
    </row>
    <row r="27">
      <c r="A27" s="17" t="inlineStr">
        <is>
          <t>Season Pass — Premium</t>
        </is>
      </c>
      <c r="B27" s="12" t="n">
        <v>8.49</v>
      </c>
      <c r="C27" s="13" t="n">
        <v>118</v>
      </c>
      <c r="D27" s="13" t="n">
        <v>589</v>
      </c>
      <c r="E27" s="13" t="n">
        <v>1178</v>
      </c>
      <c r="F27" s="13" t="n">
        <v>5890</v>
      </c>
    </row>
    <row r="28">
      <c r="A28" s="18" t="inlineStr">
        <is>
          <t>Season Pass — Plus</t>
        </is>
      </c>
      <c r="B28" s="15" t="n">
        <v>21.24</v>
      </c>
      <c r="C28" s="16" t="n">
        <v>48</v>
      </c>
      <c r="D28" s="16" t="n">
        <v>236</v>
      </c>
      <c r="E28" s="16" t="n">
        <v>471</v>
      </c>
      <c r="F28" s="16" t="n">
        <v>2355</v>
      </c>
    </row>
  </sheetData>
  <mergeCells count="4">
    <mergeCell ref="A21:F21"/>
    <mergeCell ref="A1:J1"/>
    <mergeCell ref="A13:J13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FF"/>
    <outlinePr summaryBelow="1" summaryRight="1"/>
    <pageSetUpPr/>
  </sheetPr>
  <dimension ref="A1:S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5" customWidth="1" min="4" max="4"/>
    <col width="15" customWidth="1" min="5" max="5"/>
    <col width="15" customWidth="1" min="6" max="6"/>
    <col width="14" customWidth="1" min="7" max="7"/>
    <col width="15" customWidth="1" min="8" max="8"/>
    <col width="14" customWidth="1" min="9" max="9"/>
    <col width="14" customWidth="1" min="10" max="10"/>
    <col width="13" customWidth="1" min="11" max="11"/>
    <col width="14" customWidth="1" min="12" max="12"/>
    <col width="16" customWidth="1" min="13" max="13"/>
    <col width="13" customWidth="1" min="14" max="14"/>
    <col width="15" customWidth="1" min="15" max="15"/>
    <col width="17" customWidth="1" min="16" max="16"/>
    <col width="14" customWidth="1" min="17" max="17"/>
    <col width="16" customWidth="1" min="18" max="18"/>
    <col width="13" customWidth="1" min="19" max="19"/>
  </cols>
  <sheetData>
    <row r="1">
      <c r="A1" s="9" t="inlineStr">
        <is>
          <t>60-MONTH REVENUE &amp; USER FORECAST</t>
        </is>
      </c>
    </row>
    <row r="3">
      <c r="A3" s="3" t="inlineStr">
        <is>
          <t>EDITABLE INPUTS (Change yellow cells to update forecast)</t>
        </is>
      </c>
      <c r="B3" s="3" t="n"/>
      <c r="C3" s="3" t="n"/>
    </row>
    <row r="4">
      <c r="A4" s="23" t="inlineStr">
        <is>
          <t>Launch Month Installs</t>
        </is>
      </c>
      <c r="B4" s="24" t="n">
        <v>2000</v>
      </c>
    </row>
    <row r="5">
      <c r="A5" s="25" t="inlineStr">
        <is>
          <t>Monthly Install Growth Rate</t>
        </is>
      </c>
      <c r="B5" s="26" t="n">
        <v>0.12</v>
      </c>
    </row>
    <row r="6">
      <c r="A6" s="23" t="inlineStr">
        <is>
          <t>Install Growth Decay (per month)</t>
        </is>
      </c>
      <c r="B6" s="26" t="n">
        <v>0.003</v>
      </c>
    </row>
    <row r="7">
      <c r="A7" s="25" t="inlineStr">
        <is>
          <t>Free-to-Paid Conversion Rate</t>
        </is>
      </c>
      <c r="B7" s="26" t="n">
        <v>0.04</v>
      </c>
    </row>
    <row r="8">
      <c r="A8" s="23" t="inlineStr">
        <is>
          <t>Avg Revenue Per Paying User (ARPPU)</t>
        </is>
      </c>
      <c r="B8" s="27" t="n">
        <v>7.5</v>
      </c>
    </row>
    <row r="9">
      <c r="A9" s="25" t="inlineStr">
        <is>
          <t>Monthly Paying User Churn Rate</t>
        </is>
      </c>
      <c r="B9" s="26" t="n">
        <v>0.1</v>
      </c>
    </row>
    <row r="10">
      <c r="A10" s="23" t="inlineStr">
        <is>
          <t>Monthly Free User Churn Rate</t>
        </is>
      </c>
      <c r="B10" s="26" t="n">
        <v>0.15</v>
      </c>
    </row>
    <row r="11">
      <c r="A11" s="25" t="inlineStr">
        <is>
          <t>ARPPU Annual Growth Rate</t>
        </is>
      </c>
      <c r="B11" s="26" t="n">
        <v>0.05</v>
      </c>
    </row>
    <row r="12">
      <c r="A12" s="23" t="inlineStr">
        <is>
          <t>App Store Fee Rate</t>
        </is>
      </c>
      <c r="B12" s="26" t="n">
        <v>0.15</v>
      </c>
    </row>
    <row r="13">
      <c r="A13" s="25" t="inlineStr">
        <is>
          <t>Monthly Server/Infra Cost</t>
        </is>
      </c>
      <c r="B13" s="24" t="n">
        <v>200</v>
      </c>
    </row>
    <row r="14">
      <c r="A14" s="23" t="inlineStr">
        <is>
          <t>Monthly Marketing Spend</t>
        </is>
      </c>
      <c r="B14" s="24" t="n">
        <v>500</v>
      </c>
    </row>
    <row r="15">
      <c r="A15" s="25" t="inlineStr">
        <is>
          <t>Cost Per Install (paid)</t>
        </is>
      </c>
      <c r="B15" s="27" t="n">
        <v>2</v>
      </c>
    </row>
    <row r="16">
      <c r="A16" s="23" t="inlineStr">
        <is>
          <t>Organic Install %</t>
        </is>
      </c>
      <c r="B16" s="26" t="n">
        <v>0.4</v>
      </c>
    </row>
    <row r="18">
      <c r="A18" s="3" t="inlineStr">
        <is>
          <t>MONTHLY FORECAST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 ht="45" customHeight="1">
      <c r="A19" s="28" t="inlineStr">
        <is>
          <t>Month</t>
        </is>
      </c>
      <c r="B19" s="28" t="inlineStr">
        <is>
          <t>New Installs</t>
        </is>
      </c>
      <c r="C19" s="28" t="inlineStr">
        <is>
          <t>Cumulative Installs</t>
        </is>
      </c>
      <c r="D19" s="28" t="inlineStr">
        <is>
          <t>Total Free Users</t>
        </is>
      </c>
      <c r="E19" s="28" t="inlineStr">
        <is>
          <t>Total Paying Users</t>
        </is>
      </c>
      <c r="F19" s="28" t="inlineStr">
        <is>
          <t>Total Active Users</t>
        </is>
      </c>
      <c r="G19" s="28" t="inlineStr">
        <is>
          <t>New Conversions</t>
        </is>
      </c>
      <c r="H19" s="28" t="inlineStr">
        <is>
          <t>Gross Revenue</t>
        </is>
      </c>
      <c r="I19" s="28" t="inlineStr">
        <is>
          <t>App Store Fees</t>
        </is>
      </c>
      <c r="J19" s="28" t="inlineStr">
        <is>
          <t>Net Revenue</t>
        </is>
      </c>
      <c r="K19" s="28" t="inlineStr">
        <is>
          <t>Server Costs</t>
        </is>
      </c>
      <c r="L19" s="28" t="inlineStr">
        <is>
          <t>Marketing Spend</t>
        </is>
      </c>
      <c r="M19" s="28" t="inlineStr">
        <is>
          <t>UA Cost (Paid Installs)</t>
        </is>
      </c>
      <c r="N19" s="28" t="inlineStr">
        <is>
          <t>Total Costs</t>
        </is>
      </c>
      <c r="O19" s="28" t="inlineStr">
        <is>
          <t>Net Profit/Loss</t>
        </is>
      </c>
      <c r="P19" s="28" t="inlineStr">
        <is>
          <t>Cumulative Profit/Loss</t>
        </is>
      </c>
      <c r="Q19" s="28" t="inlineStr">
        <is>
          <t>ARPU (All Users)</t>
        </is>
      </c>
      <c r="R19" s="28" t="inlineStr">
        <is>
          <t>LTV Est. (Paying)</t>
        </is>
      </c>
      <c r="S19" s="28" t="inlineStr">
        <is>
          <t>Paying User %</t>
        </is>
      </c>
    </row>
    <row r="20">
      <c r="A20" s="29" t="n">
        <v>1</v>
      </c>
      <c r="B20" s="30">
        <f>B4</f>
        <v/>
      </c>
      <c r="C20" s="30">
        <f>B20</f>
        <v/>
      </c>
      <c r="D20" s="30">
        <f>ROUND(B20*(1-B7),0)</f>
        <v/>
      </c>
      <c r="E20" s="30">
        <f>ROUND(B20*B7,0)</f>
        <v/>
      </c>
      <c r="F20" s="30">
        <f>D20+E20</f>
        <v/>
      </c>
      <c r="G20" s="30">
        <f>ROUND(B20*B7,0)</f>
        <v/>
      </c>
      <c r="H20" s="31">
        <f>ROUND(E20*B8*(1+B11)^(INT((1-1)/12)),2)</f>
        <v/>
      </c>
      <c r="I20" s="31">
        <f>ROUND(H20*B12,2)</f>
        <v/>
      </c>
      <c r="J20" s="31">
        <f>H20-I20</f>
        <v/>
      </c>
      <c r="K20" s="31">
        <f>ROUND(B13*(1+F20/10000*0.5),2)</f>
        <v/>
      </c>
      <c r="L20" s="31">
        <f>B14</f>
        <v/>
      </c>
      <c r="M20" s="31">
        <f>ROUND(B20*(1-B16)*B15,2)</f>
        <v/>
      </c>
      <c r="N20" s="31">
        <f>K20+L20+M20</f>
        <v/>
      </c>
      <c r="O20" s="31">
        <f>J20-N20</f>
        <v/>
      </c>
      <c r="P20" s="31">
        <f>O20</f>
        <v/>
      </c>
      <c r="Q20" s="31">
        <f>IF(F20&gt;0,ROUND(J20/F20,2),0)</f>
        <v/>
      </c>
      <c r="R20" s="31">
        <f>IF(B9&gt;0,ROUND(B8*(1-B12)/B9*(1+B11)^(INT((1-1)/12)),2),0)</f>
        <v/>
      </c>
      <c r="S20" s="32">
        <f>IF(F20&gt;0,E20/F20,0)</f>
        <v/>
      </c>
    </row>
    <row r="21">
      <c r="A21" s="33" t="n">
        <v>2</v>
      </c>
      <c r="B21" s="34">
        <f>ROUND(B4*(1+B5-B6*2)^(2-1),0)</f>
        <v/>
      </c>
      <c r="C21" s="34">
        <f>C20+B21</f>
        <v/>
      </c>
      <c r="D21" s="34">
        <f>ROUND(D20*(1-B10)+B21*(1-B7),0)</f>
        <v/>
      </c>
      <c r="E21" s="34">
        <f>ROUND(E20*(1-B9)+G21,0)</f>
        <v/>
      </c>
      <c r="F21" s="34">
        <f>D21+E21</f>
        <v/>
      </c>
      <c r="G21" s="34">
        <f>ROUND(B21*B7+D20*0.005,0)</f>
        <v/>
      </c>
      <c r="H21" s="35">
        <f>ROUND(E21*B8*(1+B11)^(INT((2-1)/12)),2)</f>
        <v/>
      </c>
      <c r="I21" s="35">
        <f>ROUND(H21*B12,2)</f>
        <v/>
      </c>
      <c r="J21" s="35">
        <f>H21-I21</f>
        <v/>
      </c>
      <c r="K21" s="35">
        <f>ROUND(B13*(1+F21/10000*0.5),2)</f>
        <v/>
      </c>
      <c r="L21" s="35">
        <f>B14</f>
        <v/>
      </c>
      <c r="M21" s="35">
        <f>ROUND(B21*(1-B16)*B15,2)</f>
        <v/>
      </c>
      <c r="N21" s="35">
        <f>K21+L21+M21</f>
        <v/>
      </c>
      <c r="O21" s="35">
        <f>J21-N21</f>
        <v/>
      </c>
      <c r="P21" s="35">
        <f>P20+O21</f>
        <v/>
      </c>
      <c r="Q21" s="35">
        <f>IF(F21&gt;0,ROUND(J21/F21,2),0)</f>
        <v/>
      </c>
      <c r="R21" s="35">
        <f>IF(B9&gt;0,ROUND(B8*(1-B12)/B9*(1+B11)^(INT((2-1)/12)),2),0)</f>
        <v/>
      </c>
      <c r="S21" s="36">
        <f>IF(F21&gt;0,E21/F21,0)</f>
        <v/>
      </c>
    </row>
    <row r="22">
      <c r="A22" s="29" t="n">
        <v>3</v>
      </c>
      <c r="B22" s="30">
        <f>ROUND(B4*(1+B5-B6*3)^(3-1),0)</f>
        <v/>
      </c>
      <c r="C22" s="30">
        <f>C21+B22</f>
        <v/>
      </c>
      <c r="D22" s="30">
        <f>ROUND(D21*(1-B10)+B22*(1-B7),0)</f>
        <v/>
      </c>
      <c r="E22" s="30">
        <f>ROUND(E21*(1-B9)+G22,0)</f>
        <v/>
      </c>
      <c r="F22" s="30">
        <f>D22+E22</f>
        <v/>
      </c>
      <c r="G22" s="30">
        <f>ROUND(B22*B7+D21*0.005,0)</f>
        <v/>
      </c>
      <c r="H22" s="31">
        <f>ROUND(E22*B8*(1+B11)^(INT((3-1)/12)),2)</f>
        <v/>
      </c>
      <c r="I22" s="31">
        <f>ROUND(H22*B12,2)</f>
        <v/>
      </c>
      <c r="J22" s="31">
        <f>H22-I22</f>
        <v/>
      </c>
      <c r="K22" s="31">
        <f>ROUND(B13*(1+F22/10000*0.5),2)</f>
        <v/>
      </c>
      <c r="L22" s="31">
        <f>B14</f>
        <v/>
      </c>
      <c r="M22" s="31">
        <f>ROUND(B22*(1-B16)*B15,2)</f>
        <v/>
      </c>
      <c r="N22" s="31">
        <f>K22+L22+M22</f>
        <v/>
      </c>
      <c r="O22" s="31">
        <f>J22-N22</f>
        <v/>
      </c>
      <c r="P22" s="31">
        <f>P21+O22</f>
        <v/>
      </c>
      <c r="Q22" s="31">
        <f>IF(F22&gt;0,ROUND(J22/F22,2),0)</f>
        <v/>
      </c>
      <c r="R22" s="31">
        <f>IF(B9&gt;0,ROUND(B8*(1-B12)/B9*(1+B11)^(INT((3-1)/12)),2),0)</f>
        <v/>
      </c>
      <c r="S22" s="32">
        <f>IF(F22&gt;0,E22/F22,0)</f>
        <v/>
      </c>
    </row>
    <row r="23">
      <c r="A23" s="33" t="n">
        <v>4</v>
      </c>
      <c r="B23" s="34">
        <f>ROUND(B4*(1+B5-B6*4)^(4-1),0)</f>
        <v/>
      </c>
      <c r="C23" s="34">
        <f>C22+B23</f>
        <v/>
      </c>
      <c r="D23" s="34">
        <f>ROUND(D22*(1-B10)+B23*(1-B7),0)</f>
        <v/>
      </c>
      <c r="E23" s="34">
        <f>ROUND(E22*(1-B9)+G23,0)</f>
        <v/>
      </c>
      <c r="F23" s="34">
        <f>D23+E23</f>
        <v/>
      </c>
      <c r="G23" s="34">
        <f>ROUND(B23*B7+D22*0.005,0)</f>
        <v/>
      </c>
      <c r="H23" s="35">
        <f>ROUND(E23*B8*(1+B11)^(INT((4-1)/12)),2)</f>
        <v/>
      </c>
      <c r="I23" s="35">
        <f>ROUND(H23*B12,2)</f>
        <v/>
      </c>
      <c r="J23" s="35">
        <f>H23-I23</f>
        <v/>
      </c>
      <c r="K23" s="35">
        <f>ROUND(B13*(1+F23/10000*0.5),2)</f>
        <v/>
      </c>
      <c r="L23" s="35">
        <f>B14</f>
        <v/>
      </c>
      <c r="M23" s="35">
        <f>ROUND(B23*(1-B16)*B15,2)</f>
        <v/>
      </c>
      <c r="N23" s="35">
        <f>K23+L23+M23</f>
        <v/>
      </c>
      <c r="O23" s="35">
        <f>J23-N23</f>
        <v/>
      </c>
      <c r="P23" s="35">
        <f>P22+O23</f>
        <v/>
      </c>
      <c r="Q23" s="35">
        <f>IF(F23&gt;0,ROUND(J23/F23,2),0)</f>
        <v/>
      </c>
      <c r="R23" s="35">
        <f>IF(B9&gt;0,ROUND(B8*(1-B12)/B9*(1+B11)^(INT((4-1)/12)),2),0)</f>
        <v/>
      </c>
      <c r="S23" s="36">
        <f>IF(F23&gt;0,E23/F23,0)</f>
        <v/>
      </c>
    </row>
    <row r="24">
      <c r="A24" s="29" t="n">
        <v>5</v>
      </c>
      <c r="B24" s="30">
        <f>ROUND(B4*(1+B5-B6*5)^(5-1),0)</f>
        <v/>
      </c>
      <c r="C24" s="30">
        <f>C23+B24</f>
        <v/>
      </c>
      <c r="D24" s="30">
        <f>ROUND(D23*(1-B10)+B24*(1-B7),0)</f>
        <v/>
      </c>
      <c r="E24" s="30">
        <f>ROUND(E23*(1-B9)+G24,0)</f>
        <v/>
      </c>
      <c r="F24" s="30">
        <f>D24+E24</f>
        <v/>
      </c>
      <c r="G24" s="30">
        <f>ROUND(B24*B7+D23*0.005,0)</f>
        <v/>
      </c>
      <c r="H24" s="31">
        <f>ROUND(E24*B8*(1+B11)^(INT((5-1)/12)),2)</f>
        <v/>
      </c>
      <c r="I24" s="31">
        <f>ROUND(H24*B12,2)</f>
        <v/>
      </c>
      <c r="J24" s="31">
        <f>H24-I24</f>
        <v/>
      </c>
      <c r="K24" s="31">
        <f>ROUND(B13*(1+F24/10000*0.5),2)</f>
        <v/>
      </c>
      <c r="L24" s="31">
        <f>B14</f>
        <v/>
      </c>
      <c r="M24" s="31">
        <f>ROUND(B24*(1-B16)*B15,2)</f>
        <v/>
      </c>
      <c r="N24" s="31">
        <f>K24+L24+M24</f>
        <v/>
      </c>
      <c r="O24" s="31">
        <f>J24-N24</f>
        <v/>
      </c>
      <c r="P24" s="31">
        <f>P23+O24</f>
        <v/>
      </c>
      <c r="Q24" s="31">
        <f>IF(F24&gt;0,ROUND(J24/F24,2),0)</f>
        <v/>
      </c>
      <c r="R24" s="31">
        <f>IF(B9&gt;0,ROUND(B8*(1-B12)/B9*(1+B11)^(INT((5-1)/12)),2),0)</f>
        <v/>
      </c>
      <c r="S24" s="32">
        <f>IF(F24&gt;0,E24/F24,0)</f>
        <v/>
      </c>
    </row>
    <row r="25">
      <c r="A25" s="33" t="n">
        <v>6</v>
      </c>
      <c r="B25" s="34">
        <f>ROUND(B4*(1+B5-B6*6)^(6-1),0)</f>
        <v/>
      </c>
      <c r="C25" s="34">
        <f>C24+B25</f>
        <v/>
      </c>
      <c r="D25" s="34">
        <f>ROUND(D24*(1-B10)+B25*(1-B7),0)</f>
        <v/>
      </c>
      <c r="E25" s="34">
        <f>ROUND(E24*(1-B9)+G25,0)</f>
        <v/>
      </c>
      <c r="F25" s="34">
        <f>D25+E25</f>
        <v/>
      </c>
      <c r="G25" s="34">
        <f>ROUND(B25*B7+D24*0.005,0)</f>
        <v/>
      </c>
      <c r="H25" s="35">
        <f>ROUND(E25*B8*(1+B11)^(INT((6-1)/12)),2)</f>
        <v/>
      </c>
      <c r="I25" s="35">
        <f>ROUND(H25*B12,2)</f>
        <v/>
      </c>
      <c r="J25" s="35">
        <f>H25-I25</f>
        <v/>
      </c>
      <c r="K25" s="35">
        <f>ROUND(B13*(1+F25/10000*0.5),2)</f>
        <v/>
      </c>
      <c r="L25" s="35">
        <f>B14</f>
        <v/>
      </c>
      <c r="M25" s="35">
        <f>ROUND(B25*(1-B16)*B15,2)</f>
        <v/>
      </c>
      <c r="N25" s="35">
        <f>K25+L25+M25</f>
        <v/>
      </c>
      <c r="O25" s="35">
        <f>J25-N25</f>
        <v/>
      </c>
      <c r="P25" s="35">
        <f>P24+O25</f>
        <v/>
      </c>
      <c r="Q25" s="35">
        <f>IF(F25&gt;0,ROUND(J25/F25,2),0)</f>
        <v/>
      </c>
      <c r="R25" s="35">
        <f>IF(B9&gt;0,ROUND(B8*(1-B12)/B9*(1+B11)^(INT((6-1)/12)),2),0)</f>
        <v/>
      </c>
      <c r="S25" s="36">
        <f>IF(F25&gt;0,E25/F25,0)</f>
        <v/>
      </c>
    </row>
    <row r="26">
      <c r="A26" s="29" t="n">
        <v>7</v>
      </c>
      <c r="B26" s="30">
        <f>ROUND(B4*(1+B5-B6*7)^(7-1),0)</f>
        <v/>
      </c>
      <c r="C26" s="30">
        <f>C25+B26</f>
        <v/>
      </c>
      <c r="D26" s="30">
        <f>ROUND(D25*(1-B10)+B26*(1-B7),0)</f>
        <v/>
      </c>
      <c r="E26" s="30">
        <f>ROUND(E25*(1-B9)+G26,0)</f>
        <v/>
      </c>
      <c r="F26" s="30">
        <f>D26+E26</f>
        <v/>
      </c>
      <c r="G26" s="30">
        <f>ROUND(B26*B7+D25*0.005,0)</f>
        <v/>
      </c>
      <c r="H26" s="31">
        <f>ROUND(E26*B8*(1+B11)^(INT((7-1)/12)),2)</f>
        <v/>
      </c>
      <c r="I26" s="31">
        <f>ROUND(H26*B12,2)</f>
        <v/>
      </c>
      <c r="J26" s="31">
        <f>H26-I26</f>
        <v/>
      </c>
      <c r="K26" s="31">
        <f>ROUND(B13*(1+F26/10000*0.5),2)</f>
        <v/>
      </c>
      <c r="L26" s="31">
        <f>B14</f>
        <v/>
      </c>
      <c r="M26" s="31">
        <f>ROUND(B26*(1-B16)*B15,2)</f>
        <v/>
      </c>
      <c r="N26" s="31">
        <f>K26+L26+M26</f>
        <v/>
      </c>
      <c r="O26" s="31">
        <f>J26-N26</f>
        <v/>
      </c>
      <c r="P26" s="31">
        <f>P25+O26</f>
        <v/>
      </c>
      <c r="Q26" s="31">
        <f>IF(F26&gt;0,ROUND(J26/F26,2),0)</f>
        <v/>
      </c>
      <c r="R26" s="31">
        <f>IF(B9&gt;0,ROUND(B8*(1-B12)/B9*(1+B11)^(INT((7-1)/12)),2),0)</f>
        <v/>
      </c>
      <c r="S26" s="32">
        <f>IF(F26&gt;0,E26/F26,0)</f>
        <v/>
      </c>
    </row>
    <row r="27">
      <c r="A27" s="33" t="n">
        <v>8</v>
      </c>
      <c r="B27" s="34">
        <f>ROUND(B4*(1+B5-B6*8)^(8-1),0)</f>
        <v/>
      </c>
      <c r="C27" s="34">
        <f>C26+B27</f>
        <v/>
      </c>
      <c r="D27" s="34">
        <f>ROUND(D26*(1-B10)+B27*(1-B7),0)</f>
        <v/>
      </c>
      <c r="E27" s="34">
        <f>ROUND(E26*(1-B9)+G27,0)</f>
        <v/>
      </c>
      <c r="F27" s="34">
        <f>D27+E27</f>
        <v/>
      </c>
      <c r="G27" s="34">
        <f>ROUND(B27*B7+D26*0.005,0)</f>
        <v/>
      </c>
      <c r="H27" s="35">
        <f>ROUND(E27*B8*(1+B11)^(INT((8-1)/12)),2)</f>
        <v/>
      </c>
      <c r="I27" s="35">
        <f>ROUND(H27*B12,2)</f>
        <v/>
      </c>
      <c r="J27" s="35">
        <f>H27-I27</f>
        <v/>
      </c>
      <c r="K27" s="35">
        <f>ROUND(B13*(1+F27/10000*0.5),2)</f>
        <v/>
      </c>
      <c r="L27" s="35">
        <f>B14</f>
        <v/>
      </c>
      <c r="M27" s="35">
        <f>ROUND(B27*(1-B16)*B15,2)</f>
        <v/>
      </c>
      <c r="N27" s="35">
        <f>K27+L27+M27</f>
        <v/>
      </c>
      <c r="O27" s="35">
        <f>J27-N27</f>
        <v/>
      </c>
      <c r="P27" s="35">
        <f>P26+O27</f>
        <v/>
      </c>
      <c r="Q27" s="35">
        <f>IF(F27&gt;0,ROUND(J27/F27,2),0)</f>
        <v/>
      </c>
      <c r="R27" s="35">
        <f>IF(B9&gt;0,ROUND(B8*(1-B12)/B9*(1+B11)^(INT((8-1)/12)),2),0)</f>
        <v/>
      </c>
      <c r="S27" s="36">
        <f>IF(F27&gt;0,E27/F27,0)</f>
        <v/>
      </c>
    </row>
    <row r="28">
      <c r="A28" s="29" t="n">
        <v>9</v>
      </c>
      <c r="B28" s="30">
        <f>ROUND(B4*(1+B5-B6*9)^(9-1),0)</f>
        <v/>
      </c>
      <c r="C28" s="30">
        <f>C27+B28</f>
        <v/>
      </c>
      <c r="D28" s="30">
        <f>ROUND(D27*(1-B10)+B28*(1-B7),0)</f>
        <v/>
      </c>
      <c r="E28" s="30">
        <f>ROUND(E27*(1-B9)+G28,0)</f>
        <v/>
      </c>
      <c r="F28" s="30">
        <f>D28+E28</f>
        <v/>
      </c>
      <c r="G28" s="30">
        <f>ROUND(B28*B7+D27*0.005,0)</f>
        <v/>
      </c>
      <c r="H28" s="31">
        <f>ROUND(E28*B8*(1+B11)^(INT((9-1)/12)),2)</f>
        <v/>
      </c>
      <c r="I28" s="31">
        <f>ROUND(H28*B12,2)</f>
        <v/>
      </c>
      <c r="J28" s="31">
        <f>H28-I28</f>
        <v/>
      </c>
      <c r="K28" s="31">
        <f>ROUND(B13*(1+F28/10000*0.5),2)</f>
        <v/>
      </c>
      <c r="L28" s="31">
        <f>B14</f>
        <v/>
      </c>
      <c r="M28" s="31">
        <f>ROUND(B28*(1-B16)*B15,2)</f>
        <v/>
      </c>
      <c r="N28" s="31">
        <f>K28+L28+M28</f>
        <v/>
      </c>
      <c r="O28" s="31">
        <f>J28-N28</f>
        <v/>
      </c>
      <c r="P28" s="31">
        <f>P27+O28</f>
        <v/>
      </c>
      <c r="Q28" s="31">
        <f>IF(F28&gt;0,ROUND(J28/F28,2),0)</f>
        <v/>
      </c>
      <c r="R28" s="31">
        <f>IF(B9&gt;0,ROUND(B8*(1-B12)/B9*(1+B11)^(INT((9-1)/12)),2),0)</f>
        <v/>
      </c>
      <c r="S28" s="32">
        <f>IF(F28&gt;0,E28/F28,0)</f>
        <v/>
      </c>
    </row>
    <row r="29">
      <c r="A29" s="33" t="n">
        <v>10</v>
      </c>
      <c r="B29" s="34">
        <f>ROUND(B4*(1+B5-B6*10)^(10-1),0)</f>
        <v/>
      </c>
      <c r="C29" s="34">
        <f>C28+B29</f>
        <v/>
      </c>
      <c r="D29" s="34">
        <f>ROUND(D28*(1-B10)+B29*(1-B7),0)</f>
        <v/>
      </c>
      <c r="E29" s="34">
        <f>ROUND(E28*(1-B9)+G29,0)</f>
        <v/>
      </c>
      <c r="F29" s="34">
        <f>D29+E29</f>
        <v/>
      </c>
      <c r="G29" s="34">
        <f>ROUND(B29*B7+D28*0.005,0)</f>
        <v/>
      </c>
      <c r="H29" s="35">
        <f>ROUND(E29*B8*(1+B11)^(INT((10-1)/12)),2)</f>
        <v/>
      </c>
      <c r="I29" s="35">
        <f>ROUND(H29*B12,2)</f>
        <v/>
      </c>
      <c r="J29" s="35">
        <f>H29-I29</f>
        <v/>
      </c>
      <c r="K29" s="35">
        <f>ROUND(B13*(1+F29/10000*0.5),2)</f>
        <v/>
      </c>
      <c r="L29" s="35">
        <f>B14</f>
        <v/>
      </c>
      <c r="M29" s="35">
        <f>ROUND(B29*(1-B16)*B15,2)</f>
        <v/>
      </c>
      <c r="N29" s="35">
        <f>K29+L29+M29</f>
        <v/>
      </c>
      <c r="O29" s="35">
        <f>J29-N29</f>
        <v/>
      </c>
      <c r="P29" s="35">
        <f>P28+O29</f>
        <v/>
      </c>
      <c r="Q29" s="35">
        <f>IF(F29&gt;0,ROUND(J29/F29,2),0)</f>
        <v/>
      </c>
      <c r="R29" s="35">
        <f>IF(B9&gt;0,ROUND(B8*(1-B12)/B9*(1+B11)^(INT((10-1)/12)),2),0)</f>
        <v/>
      </c>
      <c r="S29" s="36">
        <f>IF(F29&gt;0,E29/F29,0)</f>
        <v/>
      </c>
    </row>
    <row r="30">
      <c r="A30" s="29" t="n">
        <v>11</v>
      </c>
      <c r="B30" s="30">
        <f>ROUND(B4*(1+B5-B6*11)^(11-1),0)</f>
        <v/>
      </c>
      <c r="C30" s="30">
        <f>C29+B30</f>
        <v/>
      </c>
      <c r="D30" s="30">
        <f>ROUND(D29*(1-B10)+B30*(1-B7),0)</f>
        <v/>
      </c>
      <c r="E30" s="30">
        <f>ROUND(E29*(1-B9)+G30,0)</f>
        <v/>
      </c>
      <c r="F30" s="30">
        <f>D30+E30</f>
        <v/>
      </c>
      <c r="G30" s="30">
        <f>ROUND(B30*B7+D29*0.005,0)</f>
        <v/>
      </c>
      <c r="H30" s="31">
        <f>ROUND(E30*B8*(1+B11)^(INT((11-1)/12)),2)</f>
        <v/>
      </c>
      <c r="I30" s="31">
        <f>ROUND(H30*B12,2)</f>
        <v/>
      </c>
      <c r="J30" s="31">
        <f>H30-I30</f>
        <v/>
      </c>
      <c r="K30" s="31">
        <f>ROUND(B13*(1+F30/10000*0.5),2)</f>
        <v/>
      </c>
      <c r="L30" s="31">
        <f>B14</f>
        <v/>
      </c>
      <c r="M30" s="31">
        <f>ROUND(B30*(1-B16)*B15,2)</f>
        <v/>
      </c>
      <c r="N30" s="31">
        <f>K30+L30+M30</f>
        <v/>
      </c>
      <c r="O30" s="31">
        <f>J30-N30</f>
        <v/>
      </c>
      <c r="P30" s="31">
        <f>P29+O30</f>
        <v/>
      </c>
      <c r="Q30" s="31">
        <f>IF(F30&gt;0,ROUND(J30/F30,2),0)</f>
        <v/>
      </c>
      <c r="R30" s="31">
        <f>IF(B9&gt;0,ROUND(B8*(1-B12)/B9*(1+B11)^(INT((11-1)/12)),2),0)</f>
        <v/>
      </c>
      <c r="S30" s="32">
        <f>IF(F30&gt;0,E30/F30,0)</f>
        <v/>
      </c>
    </row>
    <row r="31">
      <c r="A31" s="33" t="n">
        <v>12</v>
      </c>
      <c r="B31" s="34">
        <f>ROUND(B4*(1+B5-B6*12)^(12-1),0)</f>
        <v/>
      </c>
      <c r="C31" s="34">
        <f>C30+B31</f>
        <v/>
      </c>
      <c r="D31" s="34">
        <f>ROUND(D30*(1-B10)+B31*(1-B7),0)</f>
        <v/>
      </c>
      <c r="E31" s="34">
        <f>ROUND(E30*(1-B9)+G31,0)</f>
        <v/>
      </c>
      <c r="F31" s="34">
        <f>D31+E31</f>
        <v/>
      </c>
      <c r="G31" s="34">
        <f>ROUND(B31*B7+D30*0.005,0)</f>
        <v/>
      </c>
      <c r="H31" s="35">
        <f>ROUND(E31*B8*(1+B11)^(INT((12-1)/12)),2)</f>
        <v/>
      </c>
      <c r="I31" s="35">
        <f>ROUND(H31*B12,2)</f>
        <v/>
      </c>
      <c r="J31" s="35">
        <f>H31-I31</f>
        <v/>
      </c>
      <c r="K31" s="35">
        <f>ROUND(B13*(1+F31/10000*0.5),2)</f>
        <v/>
      </c>
      <c r="L31" s="35">
        <f>B14</f>
        <v/>
      </c>
      <c r="M31" s="35">
        <f>ROUND(B31*(1-B16)*B15,2)</f>
        <v/>
      </c>
      <c r="N31" s="35">
        <f>K31+L31+M31</f>
        <v/>
      </c>
      <c r="O31" s="35">
        <f>J31-N31</f>
        <v/>
      </c>
      <c r="P31" s="35">
        <f>P30+O31</f>
        <v/>
      </c>
      <c r="Q31" s="35">
        <f>IF(F31&gt;0,ROUND(J31/F31,2),0)</f>
        <v/>
      </c>
      <c r="R31" s="35">
        <f>IF(B9&gt;0,ROUND(B8*(1-B12)/B9*(1+B11)^(INT((12-1)/12)),2),0)</f>
        <v/>
      </c>
      <c r="S31" s="36">
        <f>IF(F31&gt;0,E31/F31,0)</f>
        <v/>
      </c>
    </row>
    <row r="32">
      <c r="A32" s="29" t="n">
        <v>13</v>
      </c>
      <c r="B32" s="30">
        <f>ROUND(B4*(1+B5-B6*13)^(13-1),0)</f>
        <v/>
      </c>
      <c r="C32" s="30">
        <f>C31+B32</f>
        <v/>
      </c>
      <c r="D32" s="30">
        <f>ROUND(D31*(1-B10)+B32*(1-B7),0)</f>
        <v/>
      </c>
      <c r="E32" s="30">
        <f>ROUND(E31*(1-B9)+G32,0)</f>
        <v/>
      </c>
      <c r="F32" s="30">
        <f>D32+E32</f>
        <v/>
      </c>
      <c r="G32" s="30">
        <f>ROUND(B32*B7+D31*0.005,0)</f>
        <v/>
      </c>
      <c r="H32" s="31">
        <f>ROUND(E32*B8*(1+B11)^(INT((13-1)/12)),2)</f>
        <v/>
      </c>
      <c r="I32" s="31">
        <f>ROUND(H32*B12,2)</f>
        <v/>
      </c>
      <c r="J32" s="31">
        <f>H32-I32</f>
        <v/>
      </c>
      <c r="K32" s="31">
        <f>ROUND(B13*(1+F32/10000*0.5),2)</f>
        <v/>
      </c>
      <c r="L32" s="31">
        <f>B14</f>
        <v/>
      </c>
      <c r="M32" s="31">
        <f>ROUND(B32*(1-B16)*B15,2)</f>
        <v/>
      </c>
      <c r="N32" s="31">
        <f>K32+L32+M32</f>
        <v/>
      </c>
      <c r="O32" s="31">
        <f>J32-N32</f>
        <v/>
      </c>
      <c r="P32" s="31">
        <f>P31+O32</f>
        <v/>
      </c>
      <c r="Q32" s="31">
        <f>IF(F32&gt;0,ROUND(J32/F32,2),0)</f>
        <v/>
      </c>
      <c r="R32" s="31">
        <f>IF(B9&gt;0,ROUND(B8*(1-B12)/B9*(1+B11)^(INT((13-1)/12)),2),0)</f>
        <v/>
      </c>
      <c r="S32" s="32">
        <f>IF(F32&gt;0,E32/F32,0)</f>
        <v/>
      </c>
    </row>
    <row r="33">
      <c r="A33" s="33" t="n">
        <v>14</v>
      </c>
      <c r="B33" s="34">
        <f>ROUND(B4*(1+B5-B6*14)^(14-1),0)</f>
        <v/>
      </c>
      <c r="C33" s="34">
        <f>C32+B33</f>
        <v/>
      </c>
      <c r="D33" s="34">
        <f>ROUND(D32*(1-B10)+B33*(1-B7),0)</f>
        <v/>
      </c>
      <c r="E33" s="34">
        <f>ROUND(E32*(1-B9)+G33,0)</f>
        <v/>
      </c>
      <c r="F33" s="34">
        <f>D33+E33</f>
        <v/>
      </c>
      <c r="G33" s="34">
        <f>ROUND(B33*B7+D32*0.005,0)</f>
        <v/>
      </c>
      <c r="H33" s="35">
        <f>ROUND(E33*B8*(1+B11)^(INT((14-1)/12)),2)</f>
        <v/>
      </c>
      <c r="I33" s="35">
        <f>ROUND(H33*B12,2)</f>
        <v/>
      </c>
      <c r="J33" s="35">
        <f>H33-I33</f>
        <v/>
      </c>
      <c r="K33" s="35">
        <f>ROUND(B13*(1+F33/10000*0.5),2)</f>
        <v/>
      </c>
      <c r="L33" s="35">
        <f>B14</f>
        <v/>
      </c>
      <c r="M33" s="35">
        <f>ROUND(B33*(1-B16)*B15,2)</f>
        <v/>
      </c>
      <c r="N33" s="35">
        <f>K33+L33+M33</f>
        <v/>
      </c>
      <c r="O33" s="35">
        <f>J33-N33</f>
        <v/>
      </c>
      <c r="P33" s="35">
        <f>P32+O33</f>
        <v/>
      </c>
      <c r="Q33" s="35">
        <f>IF(F33&gt;0,ROUND(J33/F33,2),0)</f>
        <v/>
      </c>
      <c r="R33" s="35">
        <f>IF(B9&gt;0,ROUND(B8*(1-B12)/B9*(1+B11)^(INT((14-1)/12)),2),0)</f>
        <v/>
      </c>
      <c r="S33" s="36">
        <f>IF(F33&gt;0,E33/F33,0)</f>
        <v/>
      </c>
    </row>
    <row r="34">
      <c r="A34" s="29" t="n">
        <v>15</v>
      </c>
      <c r="B34" s="30">
        <f>ROUND(B4*(1+B5-B6*15)^(15-1),0)</f>
        <v/>
      </c>
      <c r="C34" s="30">
        <f>C33+B34</f>
        <v/>
      </c>
      <c r="D34" s="30">
        <f>ROUND(D33*(1-B10)+B34*(1-B7),0)</f>
        <v/>
      </c>
      <c r="E34" s="30">
        <f>ROUND(E33*(1-B9)+G34,0)</f>
        <v/>
      </c>
      <c r="F34" s="30">
        <f>D34+E34</f>
        <v/>
      </c>
      <c r="G34" s="30">
        <f>ROUND(B34*B7+D33*0.005,0)</f>
        <v/>
      </c>
      <c r="H34" s="31">
        <f>ROUND(E34*B8*(1+B11)^(INT((15-1)/12)),2)</f>
        <v/>
      </c>
      <c r="I34" s="31">
        <f>ROUND(H34*B12,2)</f>
        <v/>
      </c>
      <c r="J34" s="31">
        <f>H34-I34</f>
        <v/>
      </c>
      <c r="K34" s="31">
        <f>ROUND(B13*(1+F34/10000*0.5),2)</f>
        <v/>
      </c>
      <c r="L34" s="31">
        <f>B14</f>
        <v/>
      </c>
      <c r="M34" s="31">
        <f>ROUND(B34*(1-B16)*B15,2)</f>
        <v/>
      </c>
      <c r="N34" s="31">
        <f>K34+L34+M34</f>
        <v/>
      </c>
      <c r="O34" s="31">
        <f>J34-N34</f>
        <v/>
      </c>
      <c r="P34" s="31">
        <f>P33+O34</f>
        <v/>
      </c>
      <c r="Q34" s="31">
        <f>IF(F34&gt;0,ROUND(J34/F34,2),0)</f>
        <v/>
      </c>
      <c r="R34" s="31">
        <f>IF(B9&gt;0,ROUND(B8*(1-B12)/B9*(1+B11)^(INT((15-1)/12)),2),0)</f>
        <v/>
      </c>
      <c r="S34" s="32">
        <f>IF(F34&gt;0,E34/F34,0)</f>
        <v/>
      </c>
    </row>
    <row r="35">
      <c r="A35" s="33" t="n">
        <v>16</v>
      </c>
      <c r="B35" s="34">
        <f>ROUND(B4*(1+B5-B6*16)^(16-1),0)</f>
        <v/>
      </c>
      <c r="C35" s="34">
        <f>C34+B35</f>
        <v/>
      </c>
      <c r="D35" s="34">
        <f>ROUND(D34*(1-B10)+B35*(1-B7),0)</f>
        <v/>
      </c>
      <c r="E35" s="34">
        <f>ROUND(E34*(1-B9)+G35,0)</f>
        <v/>
      </c>
      <c r="F35" s="34">
        <f>D35+E35</f>
        <v/>
      </c>
      <c r="G35" s="34">
        <f>ROUND(B35*B7+D34*0.005,0)</f>
        <v/>
      </c>
      <c r="H35" s="35">
        <f>ROUND(E35*B8*(1+B11)^(INT((16-1)/12)),2)</f>
        <v/>
      </c>
      <c r="I35" s="35">
        <f>ROUND(H35*B12,2)</f>
        <v/>
      </c>
      <c r="J35" s="35">
        <f>H35-I35</f>
        <v/>
      </c>
      <c r="K35" s="35">
        <f>ROUND(B13*(1+F35/10000*0.5),2)</f>
        <v/>
      </c>
      <c r="L35" s="35">
        <f>B14</f>
        <v/>
      </c>
      <c r="M35" s="35">
        <f>ROUND(B35*(1-B16)*B15,2)</f>
        <v/>
      </c>
      <c r="N35" s="35">
        <f>K35+L35+M35</f>
        <v/>
      </c>
      <c r="O35" s="35">
        <f>J35-N35</f>
        <v/>
      </c>
      <c r="P35" s="35">
        <f>P34+O35</f>
        <v/>
      </c>
      <c r="Q35" s="35">
        <f>IF(F35&gt;0,ROUND(J35/F35,2),0)</f>
        <v/>
      </c>
      <c r="R35" s="35">
        <f>IF(B9&gt;0,ROUND(B8*(1-B12)/B9*(1+B11)^(INT((16-1)/12)),2),0)</f>
        <v/>
      </c>
      <c r="S35" s="36">
        <f>IF(F35&gt;0,E35/F35,0)</f>
        <v/>
      </c>
    </row>
    <row r="36">
      <c r="A36" s="29" t="n">
        <v>17</v>
      </c>
      <c r="B36" s="30">
        <f>ROUND(B4*(1+B5-B6*17)^(17-1),0)</f>
        <v/>
      </c>
      <c r="C36" s="30">
        <f>C35+B36</f>
        <v/>
      </c>
      <c r="D36" s="30">
        <f>ROUND(D35*(1-B10)+B36*(1-B7),0)</f>
        <v/>
      </c>
      <c r="E36" s="30">
        <f>ROUND(E35*(1-B9)+G36,0)</f>
        <v/>
      </c>
      <c r="F36" s="30">
        <f>D36+E36</f>
        <v/>
      </c>
      <c r="G36" s="30">
        <f>ROUND(B36*B7+D35*0.005,0)</f>
        <v/>
      </c>
      <c r="H36" s="31">
        <f>ROUND(E36*B8*(1+B11)^(INT((17-1)/12)),2)</f>
        <v/>
      </c>
      <c r="I36" s="31">
        <f>ROUND(H36*B12,2)</f>
        <v/>
      </c>
      <c r="J36" s="31">
        <f>H36-I36</f>
        <v/>
      </c>
      <c r="K36" s="31">
        <f>ROUND(B13*(1+F36/10000*0.5),2)</f>
        <v/>
      </c>
      <c r="L36" s="31">
        <f>B14</f>
        <v/>
      </c>
      <c r="M36" s="31">
        <f>ROUND(B36*(1-B16)*B15,2)</f>
        <v/>
      </c>
      <c r="N36" s="31">
        <f>K36+L36+M36</f>
        <v/>
      </c>
      <c r="O36" s="31">
        <f>J36-N36</f>
        <v/>
      </c>
      <c r="P36" s="31">
        <f>P35+O36</f>
        <v/>
      </c>
      <c r="Q36" s="31">
        <f>IF(F36&gt;0,ROUND(J36/F36,2),0)</f>
        <v/>
      </c>
      <c r="R36" s="31">
        <f>IF(B9&gt;0,ROUND(B8*(1-B12)/B9*(1+B11)^(INT((17-1)/12)),2),0)</f>
        <v/>
      </c>
      <c r="S36" s="32">
        <f>IF(F36&gt;0,E36/F36,0)</f>
        <v/>
      </c>
    </row>
    <row r="37">
      <c r="A37" s="33" t="n">
        <v>18</v>
      </c>
      <c r="B37" s="34">
        <f>ROUND(B4*(1+B5-B6*18)^(18-1),0)</f>
        <v/>
      </c>
      <c r="C37" s="34">
        <f>C36+B37</f>
        <v/>
      </c>
      <c r="D37" s="34">
        <f>ROUND(D36*(1-B10)+B37*(1-B7),0)</f>
        <v/>
      </c>
      <c r="E37" s="34">
        <f>ROUND(E36*(1-B9)+G37,0)</f>
        <v/>
      </c>
      <c r="F37" s="34">
        <f>D37+E37</f>
        <v/>
      </c>
      <c r="G37" s="34">
        <f>ROUND(B37*B7+D36*0.005,0)</f>
        <v/>
      </c>
      <c r="H37" s="35">
        <f>ROUND(E37*B8*(1+B11)^(INT((18-1)/12)),2)</f>
        <v/>
      </c>
      <c r="I37" s="35">
        <f>ROUND(H37*B12,2)</f>
        <v/>
      </c>
      <c r="J37" s="35">
        <f>H37-I37</f>
        <v/>
      </c>
      <c r="K37" s="35">
        <f>ROUND(B13*(1+F37/10000*0.5),2)</f>
        <v/>
      </c>
      <c r="L37" s="35">
        <f>B14</f>
        <v/>
      </c>
      <c r="M37" s="35">
        <f>ROUND(B37*(1-B16)*B15,2)</f>
        <v/>
      </c>
      <c r="N37" s="35">
        <f>K37+L37+M37</f>
        <v/>
      </c>
      <c r="O37" s="35">
        <f>J37-N37</f>
        <v/>
      </c>
      <c r="P37" s="35">
        <f>P36+O37</f>
        <v/>
      </c>
      <c r="Q37" s="35">
        <f>IF(F37&gt;0,ROUND(J37/F37,2),0)</f>
        <v/>
      </c>
      <c r="R37" s="35">
        <f>IF(B9&gt;0,ROUND(B8*(1-B12)/B9*(1+B11)^(INT((18-1)/12)),2),0)</f>
        <v/>
      </c>
      <c r="S37" s="36">
        <f>IF(F37&gt;0,E37/F37,0)</f>
        <v/>
      </c>
    </row>
    <row r="38">
      <c r="A38" s="29" t="n">
        <v>19</v>
      </c>
      <c r="B38" s="30">
        <f>ROUND(B4*(1+B5-B6*19)^(19-1),0)</f>
        <v/>
      </c>
      <c r="C38" s="30">
        <f>C37+B38</f>
        <v/>
      </c>
      <c r="D38" s="30">
        <f>ROUND(D37*(1-B10)+B38*(1-B7),0)</f>
        <v/>
      </c>
      <c r="E38" s="30">
        <f>ROUND(E37*(1-B9)+G38,0)</f>
        <v/>
      </c>
      <c r="F38" s="30">
        <f>D38+E38</f>
        <v/>
      </c>
      <c r="G38" s="30">
        <f>ROUND(B38*B7+D37*0.005,0)</f>
        <v/>
      </c>
      <c r="H38" s="31">
        <f>ROUND(E38*B8*(1+B11)^(INT((19-1)/12)),2)</f>
        <v/>
      </c>
      <c r="I38" s="31">
        <f>ROUND(H38*B12,2)</f>
        <v/>
      </c>
      <c r="J38" s="31">
        <f>H38-I38</f>
        <v/>
      </c>
      <c r="K38" s="31">
        <f>ROUND(B13*(1+F38/10000*0.5),2)</f>
        <v/>
      </c>
      <c r="L38" s="31">
        <f>B14</f>
        <v/>
      </c>
      <c r="M38" s="31">
        <f>ROUND(B38*(1-B16)*B15,2)</f>
        <v/>
      </c>
      <c r="N38" s="31">
        <f>K38+L38+M38</f>
        <v/>
      </c>
      <c r="O38" s="31">
        <f>J38-N38</f>
        <v/>
      </c>
      <c r="P38" s="31">
        <f>P37+O38</f>
        <v/>
      </c>
      <c r="Q38" s="31">
        <f>IF(F38&gt;0,ROUND(J38/F38,2),0)</f>
        <v/>
      </c>
      <c r="R38" s="31">
        <f>IF(B9&gt;0,ROUND(B8*(1-B12)/B9*(1+B11)^(INT((19-1)/12)),2),0)</f>
        <v/>
      </c>
      <c r="S38" s="32">
        <f>IF(F38&gt;0,E38/F38,0)</f>
        <v/>
      </c>
    </row>
    <row r="39">
      <c r="A39" s="33" t="n">
        <v>20</v>
      </c>
      <c r="B39" s="34">
        <f>ROUND(B4*(1+B5-B6*20)^(20-1),0)</f>
        <v/>
      </c>
      <c r="C39" s="34">
        <f>C38+B39</f>
        <v/>
      </c>
      <c r="D39" s="34">
        <f>ROUND(D38*(1-B10)+B39*(1-B7),0)</f>
        <v/>
      </c>
      <c r="E39" s="34">
        <f>ROUND(E38*(1-B9)+G39,0)</f>
        <v/>
      </c>
      <c r="F39" s="34">
        <f>D39+E39</f>
        <v/>
      </c>
      <c r="G39" s="34">
        <f>ROUND(B39*B7+D38*0.005,0)</f>
        <v/>
      </c>
      <c r="H39" s="35">
        <f>ROUND(E39*B8*(1+B11)^(INT((20-1)/12)),2)</f>
        <v/>
      </c>
      <c r="I39" s="35">
        <f>ROUND(H39*B12,2)</f>
        <v/>
      </c>
      <c r="J39" s="35">
        <f>H39-I39</f>
        <v/>
      </c>
      <c r="K39" s="35">
        <f>ROUND(B13*(1+F39/10000*0.5),2)</f>
        <v/>
      </c>
      <c r="L39" s="35">
        <f>B14</f>
        <v/>
      </c>
      <c r="M39" s="35">
        <f>ROUND(B39*(1-B16)*B15,2)</f>
        <v/>
      </c>
      <c r="N39" s="35">
        <f>K39+L39+M39</f>
        <v/>
      </c>
      <c r="O39" s="35">
        <f>J39-N39</f>
        <v/>
      </c>
      <c r="P39" s="35">
        <f>P38+O39</f>
        <v/>
      </c>
      <c r="Q39" s="35">
        <f>IF(F39&gt;0,ROUND(J39/F39,2),0)</f>
        <v/>
      </c>
      <c r="R39" s="35">
        <f>IF(B9&gt;0,ROUND(B8*(1-B12)/B9*(1+B11)^(INT((20-1)/12)),2),0)</f>
        <v/>
      </c>
      <c r="S39" s="36">
        <f>IF(F39&gt;0,E39/F39,0)</f>
        <v/>
      </c>
    </row>
    <row r="40">
      <c r="A40" s="29" t="n">
        <v>21</v>
      </c>
      <c r="B40" s="30">
        <f>ROUND(B4*(1+B5-B6*21)^(21-1),0)</f>
        <v/>
      </c>
      <c r="C40" s="30">
        <f>C39+B40</f>
        <v/>
      </c>
      <c r="D40" s="30">
        <f>ROUND(D39*(1-B10)+B40*(1-B7),0)</f>
        <v/>
      </c>
      <c r="E40" s="30">
        <f>ROUND(E39*(1-B9)+G40,0)</f>
        <v/>
      </c>
      <c r="F40" s="30">
        <f>D40+E40</f>
        <v/>
      </c>
      <c r="G40" s="30">
        <f>ROUND(B40*B7+D39*0.005,0)</f>
        <v/>
      </c>
      <c r="H40" s="31">
        <f>ROUND(E40*B8*(1+B11)^(INT((21-1)/12)),2)</f>
        <v/>
      </c>
      <c r="I40" s="31">
        <f>ROUND(H40*B12,2)</f>
        <v/>
      </c>
      <c r="J40" s="31">
        <f>H40-I40</f>
        <v/>
      </c>
      <c r="K40" s="31">
        <f>ROUND(B13*(1+F40/10000*0.5),2)</f>
        <v/>
      </c>
      <c r="L40" s="31">
        <f>B14</f>
        <v/>
      </c>
      <c r="M40" s="31">
        <f>ROUND(B40*(1-B16)*B15,2)</f>
        <v/>
      </c>
      <c r="N40" s="31">
        <f>K40+L40+M40</f>
        <v/>
      </c>
      <c r="O40" s="31">
        <f>J40-N40</f>
        <v/>
      </c>
      <c r="P40" s="31">
        <f>P39+O40</f>
        <v/>
      </c>
      <c r="Q40" s="31">
        <f>IF(F40&gt;0,ROUND(J40/F40,2),0)</f>
        <v/>
      </c>
      <c r="R40" s="31">
        <f>IF(B9&gt;0,ROUND(B8*(1-B12)/B9*(1+B11)^(INT((21-1)/12)),2),0)</f>
        <v/>
      </c>
      <c r="S40" s="32">
        <f>IF(F40&gt;0,E40/F40,0)</f>
        <v/>
      </c>
    </row>
    <row r="41">
      <c r="A41" s="33" t="n">
        <v>22</v>
      </c>
      <c r="B41" s="34">
        <f>ROUND(B4*(1+B5-B6*22)^(22-1),0)</f>
        <v/>
      </c>
      <c r="C41" s="34">
        <f>C40+B41</f>
        <v/>
      </c>
      <c r="D41" s="34">
        <f>ROUND(D40*(1-B10)+B41*(1-B7),0)</f>
        <v/>
      </c>
      <c r="E41" s="34">
        <f>ROUND(E40*(1-B9)+G41,0)</f>
        <v/>
      </c>
      <c r="F41" s="34">
        <f>D41+E41</f>
        <v/>
      </c>
      <c r="G41" s="34">
        <f>ROUND(B41*B7+D40*0.005,0)</f>
        <v/>
      </c>
      <c r="H41" s="35">
        <f>ROUND(E41*B8*(1+B11)^(INT((22-1)/12)),2)</f>
        <v/>
      </c>
      <c r="I41" s="35">
        <f>ROUND(H41*B12,2)</f>
        <v/>
      </c>
      <c r="J41" s="35">
        <f>H41-I41</f>
        <v/>
      </c>
      <c r="K41" s="35">
        <f>ROUND(B13*(1+F41/10000*0.5),2)</f>
        <v/>
      </c>
      <c r="L41" s="35">
        <f>B14</f>
        <v/>
      </c>
      <c r="M41" s="35">
        <f>ROUND(B41*(1-B16)*B15,2)</f>
        <v/>
      </c>
      <c r="N41" s="35">
        <f>K41+L41+M41</f>
        <v/>
      </c>
      <c r="O41" s="35">
        <f>J41-N41</f>
        <v/>
      </c>
      <c r="P41" s="35">
        <f>P40+O41</f>
        <v/>
      </c>
      <c r="Q41" s="35">
        <f>IF(F41&gt;0,ROUND(J41/F41,2),0)</f>
        <v/>
      </c>
      <c r="R41" s="35">
        <f>IF(B9&gt;0,ROUND(B8*(1-B12)/B9*(1+B11)^(INT((22-1)/12)),2),0)</f>
        <v/>
      </c>
      <c r="S41" s="36">
        <f>IF(F41&gt;0,E41/F41,0)</f>
        <v/>
      </c>
    </row>
    <row r="42">
      <c r="A42" s="29" t="n">
        <v>23</v>
      </c>
      <c r="B42" s="30">
        <f>ROUND(B4*(1+B5-B6*23)^(23-1),0)</f>
        <v/>
      </c>
      <c r="C42" s="30">
        <f>C41+B42</f>
        <v/>
      </c>
      <c r="D42" s="30">
        <f>ROUND(D41*(1-B10)+B42*(1-B7),0)</f>
        <v/>
      </c>
      <c r="E42" s="30">
        <f>ROUND(E41*(1-B9)+G42,0)</f>
        <v/>
      </c>
      <c r="F42" s="30">
        <f>D42+E42</f>
        <v/>
      </c>
      <c r="G42" s="30">
        <f>ROUND(B42*B7+D41*0.005,0)</f>
        <v/>
      </c>
      <c r="H42" s="31">
        <f>ROUND(E42*B8*(1+B11)^(INT((23-1)/12)),2)</f>
        <v/>
      </c>
      <c r="I42" s="31">
        <f>ROUND(H42*B12,2)</f>
        <v/>
      </c>
      <c r="J42" s="31">
        <f>H42-I42</f>
        <v/>
      </c>
      <c r="K42" s="31">
        <f>ROUND(B13*(1+F42/10000*0.5),2)</f>
        <v/>
      </c>
      <c r="L42" s="31">
        <f>B14</f>
        <v/>
      </c>
      <c r="M42" s="31">
        <f>ROUND(B42*(1-B16)*B15,2)</f>
        <v/>
      </c>
      <c r="N42" s="31">
        <f>K42+L42+M42</f>
        <v/>
      </c>
      <c r="O42" s="31">
        <f>J42-N42</f>
        <v/>
      </c>
      <c r="P42" s="31">
        <f>P41+O42</f>
        <v/>
      </c>
      <c r="Q42" s="31">
        <f>IF(F42&gt;0,ROUND(J42/F42,2),0)</f>
        <v/>
      </c>
      <c r="R42" s="31">
        <f>IF(B9&gt;0,ROUND(B8*(1-B12)/B9*(1+B11)^(INT((23-1)/12)),2),0)</f>
        <v/>
      </c>
      <c r="S42" s="32">
        <f>IF(F42&gt;0,E42/F42,0)</f>
        <v/>
      </c>
    </row>
    <row r="43">
      <c r="A43" s="33" t="n">
        <v>24</v>
      </c>
      <c r="B43" s="34">
        <f>ROUND(B4*(1+B5-B6*24)^(24-1),0)</f>
        <v/>
      </c>
      <c r="C43" s="34">
        <f>C42+B43</f>
        <v/>
      </c>
      <c r="D43" s="34">
        <f>ROUND(D42*(1-B10)+B43*(1-B7),0)</f>
        <v/>
      </c>
      <c r="E43" s="34">
        <f>ROUND(E42*(1-B9)+G43,0)</f>
        <v/>
      </c>
      <c r="F43" s="34">
        <f>D43+E43</f>
        <v/>
      </c>
      <c r="G43" s="34">
        <f>ROUND(B43*B7+D42*0.005,0)</f>
        <v/>
      </c>
      <c r="H43" s="35">
        <f>ROUND(E43*B8*(1+B11)^(INT((24-1)/12)),2)</f>
        <v/>
      </c>
      <c r="I43" s="35">
        <f>ROUND(H43*B12,2)</f>
        <v/>
      </c>
      <c r="J43" s="35">
        <f>H43-I43</f>
        <v/>
      </c>
      <c r="K43" s="35">
        <f>ROUND(B13*(1+F43/10000*0.5),2)</f>
        <v/>
      </c>
      <c r="L43" s="35">
        <f>B14</f>
        <v/>
      </c>
      <c r="M43" s="35">
        <f>ROUND(B43*(1-B16)*B15,2)</f>
        <v/>
      </c>
      <c r="N43" s="35">
        <f>K43+L43+M43</f>
        <v/>
      </c>
      <c r="O43" s="35">
        <f>J43-N43</f>
        <v/>
      </c>
      <c r="P43" s="35">
        <f>P42+O43</f>
        <v/>
      </c>
      <c r="Q43" s="35">
        <f>IF(F43&gt;0,ROUND(J43/F43,2),0)</f>
        <v/>
      </c>
      <c r="R43" s="35">
        <f>IF(B9&gt;0,ROUND(B8*(1-B12)/B9*(1+B11)^(INT((24-1)/12)),2),0)</f>
        <v/>
      </c>
      <c r="S43" s="36">
        <f>IF(F43&gt;0,E43/F43,0)</f>
        <v/>
      </c>
    </row>
    <row r="44">
      <c r="A44" s="29" t="n">
        <v>25</v>
      </c>
      <c r="B44" s="30">
        <f>ROUND(B4*(1+B5-B6*25)^(25-1),0)</f>
        <v/>
      </c>
      <c r="C44" s="30">
        <f>C43+B44</f>
        <v/>
      </c>
      <c r="D44" s="30">
        <f>ROUND(D43*(1-B10)+B44*(1-B7),0)</f>
        <v/>
      </c>
      <c r="E44" s="30">
        <f>ROUND(E43*(1-B9)+G44,0)</f>
        <v/>
      </c>
      <c r="F44" s="30">
        <f>D44+E44</f>
        <v/>
      </c>
      <c r="G44" s="30">
        <f>ROUND(B44*B7+D43*0.005,0)</f>
        <v/>
      </c>
      <c r="H44" s="31">
        <f>ROUND(E44*B8*(1+B11)^(INT((25-1)/12)),2)</f>
        <v/>
      </c>
      <c r="I44" s="31">
        <f>ROUND(H44*B12,2)</f>
        <v/>
      </c>
      <c r="J44" s="31">
        <f>H44-I44</f>
        <v/>
      </c>
      <c r="K44" s="31">
        <f>ROUND(B13*(1+F44/10000*0.5),2)</f>
        <v/>
      </c>
      <c r="L44" s="31">
        <f>B14</f>
        <v/>
      </c>
      <c r="M44" s="31">
        <f>ROUND(B44*(1-B16)*B15,2)</f>
        <v/>
      </c>
      <c r="N44" s="31">
        <f>K44+L44+M44</f>
        <v/>
      </c>
      <c r="O44" s="31">
        <f>J44-N44</f>
        <v/>
      </c>
      <c r="P44" s="31">
        <f>P43+O44</f>
        <v/>
      </c>
      <c r="Q44" s="31">
        <f>IF(F44&gt;0,ROUND(J44/F44,2),0)</f>
        <v/>
      </c>
      <c r="R44" s="31">
        <f>IF(B9&gt;0,ROUND(B8*(1-B12)/B9*(1+B11)^(INT((25-1)/12)),2),0)</f>
        <v/>
      </c>
      <c r="S44" s="32">
        <f>IF(F44&gt;0,E44/F44,0)</f>
        <v/>
      </c>
    </row>
    <row r="45">
      <c r="A45" s="33" t="n">
        <v>26</v>
      </c>
      <c r="B45" s="34">
        <f>ROUND(B4*(1+B5-B6*26)^(26-1),0)</f>
        <v/>
      </c>
      <c r="C45" s="34">
        <f>C44+B45</f>
        <v/>
      </c>
      <c r="D45" s="34">
        <f>ROUND(D44*(1-B10)+B45*(1-B7),0)</f>
        <v/>
      </c>
      <c r="E45" s="34">
        <f>ROUND(E44*(1-B9)+G45,0)</f>
        <v/>
      </c>
      <c r="F45" s="34">
        <f>D45+E45</f>
        <v/>
      </c>
      <c r="G45" s="34">
        <f>ROUND(B45*B7+D44*0.005,0)</f>
        <v/>
      </c>
      <c r="H45" s="35">
        <f>ROUND(E45*B8*(1+B11)^(INT((26-1)/12)),2)</f>
        <v/>
      </c>
      <c r="I45" s="35">
        <f>ROUND(H45*B12,2)</f>
        <v/>
      </c>
      <c r="J45" s="35">
        <f>H45-I45</f>
        <v/>
      </c>
      <c r="K45" s="35">
        <f>ROUND(B13*(1+F45/10000*0.5),2)</f>
        <v/>
      </c>
      <c r="L45" s="35">
        <f>B14</f>
        <v/>
      </c>
      <c r="M45" s="35">
        <f>ROUND(B45*(1-B16)*B15,2)</f>
        <v/>
      </c>
      <c r="N45" s="35">
        <f>K45+L45+M45</f>
        <v/>
      </c>
      <c r="O45" s="35">
        <f>J45-N45</f>
        <v/>
      </c>
      <c r="P45" s="35">
        <f>P44+O45</f>
        <v/>
      </c>
      <c r="Q45" s="35">
        <f>IF(F45&gt;0,ROUND(J45/F45,2),0)</f>
        <v/>
      </c>
      <c r="R45" s="35">
        <f>IF(B9&gt;0,ROUND(B8*(1-B12)/B9*(1+B11)^(INT((26-1)/12)),2),0)</f>
        <v/>
      </c>
      <c r="S45" s="36">
        <f>IF(F45&gt;0,E45/F45,0)</f>
        <v/>
      </c>
    </row>
    <row r="46">
      <c r="A46" s="29" t="n">
        <v>27</v>
      </c>
      <c r="B46" s="30">
        <f>ROUND(B4*(1+B5-B6*27)^(27-1),0)</f>
        <v/>
      </c>
      <c r="C46" s="30">
        <f>C45+B46</f>
        <v/>
      </c>
      <c r="D46" s="30">
        <f>ROUND(D45*(1-B10)+B46*(1-B7),0)</f>
        <v/>
      </c>
      <c r="E46" s="30">
        <f>ROUND(E45*(1-B9)+G46,0)</f>
        <v/>
      </c>
      <c r="F46" s="30">
        <f>D46+E46</f>
        <v/>
      </c>
      <c r="G46" s="30">
        <f>ROUND(B46*B7+D45*0.005,0)</f>
        <v/>
      </c>
      <c r="H46" s="31">
        <f>ROUND(E46*B8*(1+B11)^(INT((27-1)/12)),2)</f>
        <v/>
      </c>
      <c r="I46" s="31">
        <f>ROUND(H46*B12,2)</f>
        <v/>
      </c>
      <c r="J46" s="31">
        <f>H46-I46</f>
        <v/>
      </c>
      <c r="K46" s="31">
        <f>ROUND(B13*(1+F46/10000*0.5),2)</f>
        <v/>
      </c>
      <c r="L46" s="31">
        <f>B14</f>
        <v/>
      </c>
      <c r="M46" s="31">
        <f>ROUND(B46*(1-B16)*B15,2)</f>
        <v/>
      </c>
      <c r="N46" s="31">
        <f>K46+L46+M46</f>
        <v/>
      </c>
      <c r="O46" s="31">
        <f>J46-N46</f>
        <v/>
      </c>
      <c r="P46" s="31">
        <f>P45+O46</f>
        <v/>
      </c>
      <c r="Q46" s="31">
        <f>IF(F46&gt;0,ROUND(J46/F46,2),0)</f>
        <v/>
      </c>
      <c r="R46" s="31">
        <f>IF(B9&gt;0,ROUND(B8*(1-B12)/B9*(1+B11)^(INT((27-1)/12)),2),0)</f>
        <v/>
      </c>
      <c r="S46" s="32">
        <f>IF(F46&gt;0,E46/F46,0)</f>
        <v/>
      </c>
    </row>
    <row r="47">
      <c r="A47" s="33" t="n">
        <v>28</v>
      </c>
      <c r="B47" s="34">
        <f>ROUND(B4*(1+B5-B6*28)^(28-1),0)</f>
        <v/>
      </c>
      <c r="C47" s="34">
        <f>C46+B47</f>
        <v/>
      </c>
      <c r="D47" s="34">
        <f>ROUND(D46*(1-B10)+B47*(1-B7),0)</f>
        <v/>
      </c>
      <c r="E47" s="34">
        <f>ROUND(E46*(1-B9)+G47,0)</f>
        <v/>
      </c>
      <c r="F47" s="34">
        <f>D47+E47</f>
        <v/>
      </c>
      <c r="G47" s="34">
        <f>ROUND(B47*B7+D46*0.005,0)</f>
        <v/>
      </c>
      <c r="H47" s="35">
        <f>ROUND(E47*B8*(1+B11)^(INT((28-1)/12)),2)</f>
        <v/>
      </c>
      <c r="I47" s="35">
        <f>ROUND(H47*B12,2)</f>
        <v/>
      </c>
      <c r="J47" s="35">
        <f>H47-I47</f>
        <v/>
      </c>
      <c r="K47" s="35">
        <f>ROUND(B13*(1+F47/10000*0.5),2)</f>
        <v/>
      </c>
      <c r="L47" s="35">
        <f>B14</f>
        <v/>
      </c>
      <c r="M47" s="35">
        <f>ROUND(B47*(1-B16)*B15,2)</f>
        <v/>
      </c>
      <c r="N47" s="35">
        <f>K47+L47+M47</f>
        <v/>
      </c>
      <c r="O47" s="35">
        <f>J47-N47</f>
        <v/>
      </c>
      <c r="P47" s="35">
        <f>P46+O47</f>
        <v/>
      </c>
      <c r="Q47" s="35">
        <f>IF(F47&gt;0,ROUND(J47/F47,2),0)</f>
        <v/>
      </c>
      <c r="R47" s="35">
        <f>IF(B9&gt;0,ROUND(B8*(1-B12)/B9*(1+B11)^(INT((28-1)/12)),2),0)</f>
        <v/>
      </c>
      <c r="S47" s="36">
        <f>IF(F47&gt;0,E47/F47,0)</f>
        <v/>
      </c>
    </row>
    <row r="48">
      <c r="A48" s="29" t="n">
        <v>29</v>
      </c>
      <c r="B48" s="30">
        <f>ROUND(B4*(1+B5-B6*29)^(29-1),0)</f>
        <v/>
      </c>
      <c r="C48" s="30">
        <f>C47+B48</f>
        <v/>
      </c>
      <c r="D48" s="30">
        <f>ROUND(D47*(1-B10)+B48*(1-B7),0)</f>
        <v/>
      </c>
      <c r="E48" s="30">
        <f>ROUND(E47*(1-B9)+G48,0)</f>
        <v/>
      </c>
      <c r="F48" s="30">
        <f>D48+E48</f>
        <v/>
      </c>
      <c r="G48" s="30">
        <f>ROUND(B48*B7+D47*0.005,0)</f>
        <v/>
      </c>
      <c r="H48" s="31">
        <f>ROUND(E48*B8*(1+B11)^(INT((29-1)/12)),2)</f>
        <v/>
      </c>
      <c r="I48" s="31">
        <f>ROUND(H48*B12,2)</f>
        <v/>
      </c>
      <c r="J48" s="31">
        <f>H48-I48</f>
        <v/>
      </c>
      <c r="K48" s="31">
        <f>ROUND(B13*(1+F48/10000*0.5),2)</f>
        <v/>
      </c>
      <c r="L48" s="31">
        <f>B14</f>
        <v/>
      </c>
      <c r="M48" s="31">
        <f>ROUND(B48*(1-B16)*B15,2)</f>
        <v/>
      </c>
      <c r="N48" s="31">
        <f>K48+L48+M48</f>
        <v/>
      </c>
      <c r="O48" s="31">
        <f>J48-N48</f>
        <v/>
      </c>
      <c r="P48" s="31">
        <f>P47+O48</f>
        <v/>
      </c>
      <c r="Q48" s="31">
        <f>IF(F48&gt;0,ROUND(J48/F48,2),0)</f>
        <v/>
      </c>
      <c r="R48" s="31">
        <f>IF(B9&gt;0,ROUND(B8*(1-B12)/B9*(1+B11)^(INT((29-1)/12)),2),0)</f>
        <v/>
      </c>
      <c r="S48" s="32">
        <f>IF(F48&gt;0,E48/F48,0)</f>
        <v/>
      </c>
    </row>
    <row r="49">
      <c r="A49" s="33" t="n">
        <v>30</v>
      </c>
      <c r="B49" s="34">
        <f>ROUND(B4*(1+B5-B6*30)^(30-1),0)</f>
        <v/>
      </c>
      <c r="C49" s="34">
        <f>C48+B49</f>
        <v/>
      </c>
      <c r="D49" s="34">
        <f>ROUND(D48*(1-B10)+B49*(1-B7),0)</f>
        <v/>
      </c>
      <c r="E49" s="34">
        <f>ROUND(E48*(1-B9)+G49,0)</f>
        <v/>
      </c>
      <c r="F49" s="34">
        <f>D49+E49</f>
        <v/>
      </c>
      <c r="G49" s="34">
        <f>ROUND(B49*B7+D48*0.005,0)</f>
        <v/>
      </c>
      <c r="H49" s="35">
        <f>ROUND(E49*B8*(1+B11)^(INT((30-1)/12)),2)</f>
        <v/>
      </c>
      <c r="I49" s="35">
        <f>ROUND(H49*B12,2)</f>
        <v/>
      </c>
      <c r="J49" s="35">
        <f>H49-I49</f>
        <v/>
      </c>
      <c r="K49" s="35">
        <f>ROUND(B13*(1+F49/10000*0.5),2)</f>
        <v/>
      </c>
      <c r="L49" s="35">
        <f>B14</f>
        <v/>
      </c>
      <c r="M49" s="35">
        <f>ROUND(B49*(1-B16)*B15,2)</f>
        <v/>
      </c>
      <c r="N49" s="35">
        <f>K49+L49+M49</f>
        <v/>
      </c>
      <c r="O49" s="35">
        <f>J49-N49</f>
        <v/>
      </c>
      <c r="P49" s="35">
        <f>P48+O49</f>
        <v/>
      </c>
      <c r="Q49" s="35">
        <f>IF(F49&gt;0,ROUND(J49/F49,2),0)</f>
        <v/>
      </c>
      <c r="R49" s="35">
        <f>IF(B9&gt;0,ROUND(B8*(1-B12)/B9*(1+B11)^(INT((30-1)/12)),2),0)</f>
        <v/>
      </c>
      <c r="S49" s="36">
        <f>IF(F49&gt;0,E49/F49,0)</f>
        <v/>
      </c>
    </row>
    <row r="50">
      <c r="A50" s="29" t="n">
        <v>31</v>
      </c>
      <c r="B50" s="30">
        <f>ROUND(B4*(1+B5-B6*31)^(31-1),0)</f>
        <v/>
      </c>
      <c r="C50" s="30">
        <f>C49+B50</f>
        <v/>
      </c>
      <c r="D50" s="30">
        <f>ROUND(D49*(1-B10)+B50*(1-B7),0)</f>
        <v/>
      </c>
      <c r="E50" s="30">
        <f>ROUND(E49*(1-B9)+G50,0)</f>
        <v/>
      </c>
      <c r="F50" s="30">
        <f>D50+E50</f>
        <v/>
      </c>
      <c r="G50" s="30">
        <f>ROUND(B50*B7+D49*0.005,0)</f>
        <v/>
      </c>
      <c r="H50" s="31">
        <f>ROUND(E50*B8*(1+B11)^(INT((31-1)/12)),2)</f>
        <v/>
      </c>
      <c r="I50" s="31">
        <f>ROUND(H50*B12,2)</f>
        <v/>
      </c>
      <c r="J50" s="31">
        <f>H50-I50</f>
        <v/>
      </c>
      <c r="K50" s="31">
        <f>ROUND(B13*(1+F50/10000*0.5),2)</f>
        <v/>
      </c>
      <c r="L50" s="31">
        <f>B14</f>
        <v/>
      </c>
      <c r="M50" s="31">
        <f>ROUND(B50*(1-B16)*B15,2)</f>
        <v/>
      </c>
      <c r="N50" s="31">
        <f>K50+L50+M50</f>
        <v/>
      </c>
      <c r="O50" s="31">
        <f>J50-N50</f>
        <v/>
      </c>
      <c r="P50" s="31">
        <f>P49+O50</f>
        <v/>
      </c>
      <c r="Q50" s="31">
        <f>IF(F50&gt;0,ROUND(J50/F50,2),0)</f>
        <v/>
      </c>
      <c r="R50" s="31">
        <f>IF(B9&gt;0,ROUND(B8*(1-B12)/B9*(1+B11)^(INT((31-1)/12)),2),0)</f>
        <v/>
      </c>
      <c r="S50" s="32">
        <f>IF(F50&gt;0,E50/F50,0)</f>
        <v/>
      </c>
    </row>
    <row r="51">
      <c r="A51" s="33" t="n">
        <v>32</v>
      </c>
      <c r="B51" s="34">
        <f>ROUND(B4*(1+B5-B6*32)^(32-1),0)</f>
        <v/>
      </c>
      <c r="C51" s="34">
        <f>C50+B51</f>
        <v/>
      </c>
      <c r="D51" s="34">
        <f>ROUND(D50*(1-B10)+B51*(1-B7),0)</f>
        <v/>
      </c>
      <c r="E51" s="34">
        <f>ROUND(E50*(1-B9)+G51,0)</f>
        <v/>
      </c>
      <c r="F51" s="34">
        <f>D51+E51</f>
        <v/>
      </c>
      <c r="G51" s="34">
        <f>ROUND(B51*B7+D50*0.005,0)</f>
        <v/>
      </c>
      <c r="H51" s="35">
        <f>ROUND(E51*B8*(1+B11)^(INT((32-1)/12)),2)</f>
        <v/>
      </c>
      <c r="I51" s="35">
        <f>ROUND(H51*B12,2)</f>
        <v/>
      </c>
      <c r="J51" s="35">
        <f>H51-I51</f>
        <v/>
      </c>
      <c r="K51" s="35">
        <f>ROUND(B13*(1+F51/10000*0.5),2)</f>
        <v/>
      </c>
      <c r="L51" s="35">
        <f>B14</f>
        <v/>
      </c>
      <c r="M51" s="35">
        <f>ROUND(B51*(1-B16)*B15,2)</f>
        <v/>
      </c>
      <c r="N51" s="35">
        <f>K51+L51+M51</f>
        <v/>
      </c>
      <c r="O51" s="35">
        <f>J51-N51</f>
        <v/>
      </c>
      <c r="P51" s="35">
        <f>P50+O51</f>
        <v/>
      </c>
      <c r="Q51" s="35">
        <f>IF(F51&gt;0,ROUND(J51/F51,2),0)</f>
        <v/>
      </c>
      <c r="R51" s="35">
        <f>IF(B9&gt;0,ROUND(B8*(1-B12)/B9*(1+B11)^(INT((32-1)/12)),2),0)</f>
        <v/>
      </c>
      <c r="S51" s="36">
        <f>IF(F51&gt;0,E51/F51,0)</f>
        <v/>
      </c>
    </row>
    <row r="52">
      <c r="A52" s="29" t="n">
        <v>33</v>
      </c>
      <c r="B52" s="30">
        <f>ROUND(B4*(1+B5-B6*33)^(33-1),0)</f>
        <v/>
      </c>
      <c r="C52" s="30">
        <f>C51+B52</f>
        <v/>
      </c>
      <c r="D52" s="30">
        <f>ROUND(D51*(1-B10)+B52*(1-B7),0)</f>
        <v/>
      </c>
      <c r="E52" s="30">
        <f>ROUND(E51*(1-B9)+G52,0)</f>
        <v/>
      </c>
      <c r="F52" s="30">
        <f>D52+E52</f>
        <v/>
      </c>
      <c r="G52" s="30">
        <f>ROUND(B52*B7+D51*0.005,0)</f>
        <v/>
      </c>
      <c r="H52" s="31">
        <f>ROUND(E52*B8*(1+B11)^(INT((33-1)/12)),2)</f>
        <v/>
      </c>
      <c r="I52" s="31">
        <f>ROUND(H52*B12,2)</f>
        <v/>
      </c>
      <c r="J52" s="31">
        <f>H52-I52</f>
        <v/>
      </c>
      <c r="K52" s="31">
        <f>ROUND(B13*(1+F52/10000*0.5),2)</f>
        <v/>
      </c>
      <c r="L52" s="31">
        <f>B14</f>
        <v/>
      </c>
      <c r="M52" s="31">
        <f>ROUND(B52*(1-B16)*B15,2)</f>
        <v/>
      </c>
      <c r="N52" s="31">
        <f>K52+L52+M52</f>
        <v/>
      </c>
      <c r="O52" s="31">
        <f>J52-N52</f>
        <v/>
      </c>
      <c r="P52" s="31">
        <f>P51+O52</f>
        <v/>
      </c>
      <c r="Q52" s="31">
        <f>IF(F52&gt;0,ROUND(J52/F52,2),0)</f>
        <v/>
      </c>
      <c r="R52" s="31">
        <f>IF(B9&gt;0,ROUND(B8*(1-B12)/B9*(1+B11)^(INT((33-1)/12)),2),0)</f>
        <v/>
      </c>
      <c r="S52" s="32">
        <f>IF(F52&gt;0,E52/F52,0)</f>
        <v/>
      </c>
    </row>
    <row r="53">
      <c r="A53" s="33" t="n">
        <v>34</v>
      </c>
      <c r="B53" s="34">
        <f>ROUND(B4*(1+B5-B6*34)^(34-1),0)</f>
        <v/>
      </c>
      <c r="C53" s="34">
        <f>C52+B53</f>
        <v/>
      </c>
      <c r="D53" s="34">
        <f>ROUND(D52*(1-B10)+B53*(1-B7),0)</f>
        <v/>
      </c>
      <c r="E53" s="34">
        <f>ROUND(E52*(1-B9)+G53,0)</f>
        <v/>
      </c>
      <c r="F53" s="34">
        <f>D53+E53</f>
        <v/>
      </c>
      <c r="G53" s="34">
        <f>ROUND(B53*B7+D52*0.005,0)</f>
        <v/>
      </c>
      <c r="H53" s="35">
        <f>ROUND(E53*B8*(1+B11)^(INT((34-1)/12)),2)</f>
        <v/>
      </c>
      <c r="I53" s="35">
        <f>ROUND(H53*B12,2)</f>
        <v/>
      </c>
      <c r="J53" s="35">
        <f>H53-I53</f>
        <v/>
      </c>
      <c r="K53" s="35">
        <f>ROUND(B13*(1+F53/10000*0.5),2)</f>
        <v/>
      </c>
      <c r="L53" s="35">
        <f>B14</f>
        <v/>
      </c>
      <c r="M53" s="35">
        <f>ROUND(B53*(1-B16)*B15,2)</f>
        <v/>
      </c>
      <c r="N53" s="35">
        <f>K53+L53+M53</f>
        <v/>
      </c>
      <c r="O53" s="35">
        <f>J53-N53</f>
        <v/>
      </c>
      <c r="P53" s="35">
        <f>P52+O53</f>
        <v/>
      </c>
      <c r="Q53" s="35">
        <f>IF(F53&gt;0,ROUND(J53/F53,2),0)</f>
        <v/>
      </c>
      <c r="R53" s="35">
        <f>IF(B9&gt;0,ROUND(B8*(1-B12)/B9*(1+B11)^(INT((34-1)/12)),2),0)</f>
        <v/>
      </c>
      <c r="S53" s="36">
        <f>IF(F53&gt;0,E53/F53,0)</f>
        <v/>
      </c>
    </row>
    <row r="54">
      <c r="A54" s="29" t="n">
        <v>35</v>
      </c>
      <c r="B54" s="30">
        <f>ROUND(B4*(1+B5-B6*35)^(35-1),0)</f>
        <v/>
      </c>
      <c r="C54" s="30">
        <f>C53+B54</f>
        <v/>
      </c>
      <c r="D54" s="30">
        <f>ROUND(D53*(1-B10)+B54*(1-B7),0)</f>
        <v/>
      </c>
      <c r="E54" s="30">
        <f>ROUND(E53*(1-B9)+G54,0)</f>
        <v/>
      </c>
      <c r="F54" s="30">
        <f>D54+E54</f>
        <v/>
      </c>
      <c r="G54" s="30">
        <f>ROUND(B54*B7+D53*0.005,0)</f>
        <v/>
      </c>
      <c r="H54" s="31">
        <f>ROUND(E54*B8*(1+B11)^(INT((35-1)/12)),2)</f>
        <v/>
      </c>
      <c r="I54" s="31">
        <f>ROUND(H54*B12,2)</f>
        <v/>
      </c>
      <c r="J54" s="31">
        <f>H54-I54</f>
        <v/>
      </c>
      <c r="K54" s="31">
        <f>ROUND(B13*(1+F54/10000*0.5),2)</f>
        <v/>
      </c>
      <c r="L54" s="31">
        <f>B14</f>
        <v/>
      </c>
      <c r="M54" s="31">
        <f>ROUND(B54*(1-B16)*B15,2)</f>
        <v/>
      </c>
      <c r="N54" s="31">
        <f>K54+L54+M54</f>
        <v/>
      </c>
      <c r="O54" s="31">
        <f>J54-N54</f>
        <v/>
      </c>
      <c r="P54" s="31">
        <f>P53+O54</f>
        <v/>
      </c>
      <c r="Q54" s="31">
        <f>IF(F54&gt;0,ROUND(J54/F54,2),0)</f>
        <v/>
      </c>
      <c r="R54" s="31">
        <f>IF(B9&gt;0,ROUND(B8*(1-B12)/B9*(1+B11)^(INT((35-1)/12)),2),0)</f>
        <v/>
      </c>
      <c r="S54" s="32">
        <f>IF(F54&gt;0,E54/F54,0)</f>
        <v/>
      </c>
    </row>
    <row r="55">
      <c r="A55" s="33" t="n">
        <v>36</v>
      </c>
      <c r="B55" s="34">
        <f>ROUND(B4*(1+B5-B6*36)^(36-1),0)</f>
        <v/>
      </c>
      <c r="C55" s="34">
        <f>C54+B55</f>
        <v/>
      </c>
      <c r="D55" s="34">
        <f>ROUND(D54*(1-B10)+B55*(1-B7),0)</f>
        <v/>
      </c>
      <c r="E55" s="34">
        <f>ROUND(E54*(1-B9)+G55,0)</f>
        <v/>
      </c>
      <c r="F55" s="34">
        <f>D55+E55</f>
        <v/>
      </c>
      <c r="G55" s="34">
        <f>ROUND(B55*B7+D54*0.005,0)</f>
        <v/>
      </c>
      <c r="H55" s="35">
        <f>ROUND(E55*B8*(1+B11)^(INT((36-1)/12)),2)</f>
        <v/>
      </c>
      <c r="I55" s="35">
        <f>ROUND(H55*B12,2)</f>
        <v/>
      </c>
      <c r="J55" s="35">
        <f>H55-I55</f>
        <v/>
      </c>
      <c r="K55" s="35">
        <f>ROUND(B13*(1+F55/10000*0.5),2)</f>
        <v/>
      </c>
      <c r="L55" s="35">
        <f>B14</f>
        <v/>
      </c>
      <c r="M55" s="35">
        <f>ROUND(B55*(1-B16)*B15,2)</f>
        <v/>
      </c>
      <c r="N55" s="35">
        <f>K55+L55+M55</f>
        <v/>
      </c>
      <c r="O55" s="35">
        <f>J55-N55</f>
        <v/>
      </c>
      <c r="P55" s="35">
        <f>P54+O55</f>
        <v/>
      </c>
      <c r="Q55" s="35">
        <f>IF(F55&gt;0,ROUND(J55/F55,2),0)</f>
        <v/>
      </c>
      <c r="R55" s="35">
        <f>IF(B9&gt;0,ROUND(B8*(1-B12)/B9*(1+B11)^(INT((36-1)/12)),2),0)</f>
        <v/>
      </c>
      <c r="S55" s="36">
        <f>IF(F55&gt;0,E55/F55,0)</f>
        <v/>
      </c>
    </row>
    <row r="56">
      <c r="A56" s="29" t="n">
        <v>37</v>
      </c>
      <c r="B56" s="30">
        <f>ROUND(B4*(1+B5-B6*37)^(37-1),0)</f>
        <v/>
      </c>
      <c r="C56" s="30">
        <f>C55+B56</f>
        <v/>
      </c>
      <c r="D56" s="30">
        <f>ROUND(D55*(1-B10)+B56*(1-B7),0)</f>
        <v/>
      </c>
      <c r="E56" s="30">
        <f>ROUND(E55*(1-B9)+G56,0)</f>
        <v/>
      </c>
      <c r="F56" s="30">
        <f>D56+E56</f>
        <v/>
      </c>
      <c r="G56" s="30">
        <f>ROUND(B56*B7+D55*0.005,0)</f>
        <v/>
      </c>
      <c r="H56" s="31">
        <f>ROUND(E56*B8*(1+B11)^(INT((37-1)/12)),2)</f>
        <v/>
      </c>
      <c r="I56" s="31">
        <f>ROUND(H56*B12,2)</f>
        <v/>
      </c>
      <c r="J56" s="31">
        <f>H56-I56</f>
        <v/>
      </c>
      <c r="K56" s="31">
        <f>ROUND(B13*(1+F56/10000*0.5),2)</f>
        <v/>
      </c>
      <c r="L56" s="31">
        <f>B14</f>
        <v/>
      </c>
      <c r="M56" s="31">
        <f>ROUND(B56*(1-B16)*B15,2)</f>
        <v/>
      </c>
      <c r="N56" s="31">
        <f>K56+L56+M56</f>
        <v/>
      </c>
      <c r="O56" s="31">
        <f>J56-N56</f>
        <v/>
      </c>
      <c r="P56" s="31">
        <f>P55+O56</f>
        <v/>
      </c>
      <c r="Q56" s="31">
        <f>IF(F56&gt;0,ROUND(J56/F56,2),0)</f>
        <v/>
      </c>
      <c r="R56" s="31">
        <f>IF(B9&gt;0,ROUND(B8*(1-B12)/B9*(1+B11)^(INT((37-1)/12)),2),0)</f>
        <v/>
      </c>
      <c r="S56" s="32">
        <f>IF(F56&gt;0,E56/F56,0)</f>
        <v/>
      </c>
    </row>
    <row r="57">
      <c r="A57" s="33" t="n">
        <v>38</v>
      </c>
      <c r="B57" s="34">
        <f>ROUND(B4*(1+B5-B6*38)^(38-1),0)</f>
        <v/>
      </c>
      <c r="C57" s="34">
        <f>C56+B57</f>
        <v/>
      </c>
      <c r="D57" s="34">
        <f>ROUND(D56*(1-B10)+B57*(1-B7),0)</f>
        <v/>
      </c>
      <c r="E57" s="34">
        <f>ROUND(E56*(1-B9)+G57,0)</f>
        <v/>
      </c>
      <c r="F57" s="34">
        <f>D57+E57</f>
        <v/>
      </c>
      <c r="G57" s="34">
        <f>ROUND(B57*B7+D56*0.005,0)</f>
        <v/>
      </c>
      <c r="H57" s="35">
        <f>ROUND(E57*B8*(1+B11)^(INT((38-1)/12)),2)</f>
        <v/>
      </c>
      <c r="I57" s="35">
        <f>ROUND(H57*B12,2)</f>
        <v/>
      </c>
      <c r="J57" s="35">
        <f>H57-I57</f>
        <v/>
      </c>
      <c r="K57" s="35">
        <f>ROUND(B13*(1+F57/10000*0.5),2)</f>
        <v/>
      </c>
      <c r="L57" s="35">
        <f>B14</f>
        <v/>
      </c>
      <c r="M57" s="35">
        <f>ROUND(B57*(1-B16)*B15,2)</f>
        <v/>
      </c>
      <c r="N57" s="35">
        <f>K57+L57+M57</f>
        <v/>
      </c>
      <c r="O57" s="35">
        <f>J57-N57</f>
        <v/>
      </c>
      <c r="P57" s="35">
        <f>P56+O57</f>
        <v/>
      </c>
      <c r="Q57" s="35">
        <f>IF(F57&gt;0,ROUND(J57/F57,2),0)</f>
        <v/>
      </c>
      <c r="R57" s="35">
        <f>IF(B9&gt;0,ROUND(B8*(1-B12)/B9*(1+B11)^(INT((38-1)/12)),2),0)</f>
        <v/>
      </c>
      <c r="S57" s="36">
        <f>IF(F57&gt;0,E57/F57,0)</f>
        <v/>
      </c>
    </row>
    <row r="58">
      <c r="A58" s="29" t="n">
        <v>39</v>
      </c>
      <c r="B58" s="30">
        <f>ROUND(B4*(1+B5-B6*39)^(39-1),0)</f>
        <v/>
      </c>
      <c r="C58" s="30">
        <f>C57+B58</f>
        <v/>
      </c>
      <c r="D58" s="30">
        <f>ROUND(D57*(1-B10)+B58*(1-B7),0)</f>
        <v/>
      </c>
      <c r="E58" s="30">
        <f>ROUND(E57*(1-B9)+G58,0)</f>
        <v/>
      </c>
      <c r="F58" s="30">
        <f>D58+E58</f>
        <v/>
      </c>
      <c r="G58" s="30">
        <f>ROUND(B58*B7+D57*0.005,0)</f>
        <v/>
      </c>
      <c r="H58" s="31">
        <f>ROUND(E58*B8*(1+B11)^(INT((39-1)/12)),2)</f>
        <v/>
      </c>
      <c r="I58" s="31">
        <f>ROUND(H58*B12,2)</f>
        <v/>
      </c>
      <c r="J58" s="31">
        <f>H58-I58</f>
        <v/>
      </c>
      <c r="K58" s="31">
        <f>ROUND(B13*(1+F58/10000*0.5),2)</f>
        <v/>
      </c>
      <c r="L58" s="31">
        <f>B14</f>
        <v/>
      </c>
      <c r="M58" s="31">
        <f>ROUND(B58*(1-B16)*B15,2)</f>
        <v/>
      </c>
      <c r="N58" s="31">
        <f>K58+L58+M58</f>
        <v/>
      </c>
      <c r="O58" s="31">
        <f>J58-N58</f>
        <v/>
      </c>
      <c r="P58" s="31">
        <f>P57+O58</f>
        <v/>
      </c>
      <c r="Q58" s="31">
        <f>IF(F58&gt;0,ROUND(J58/F58,2),0)</f>
        <v/>
      </c>
      <c r="R58" s="31">
        <f>IF(B9&gt;0,ROUND(B8*(1-B12)/B9*(1+B11)^(INT((39-1)/12)),2),0)</f>
        <v/>
      </c>
      <c r="S58" s="32">
        <f>IF(F58&gt;0,E58/F58,0)</f>
        <v/>
      </c>
    </row>
    <row r="59">
      <c r="A59" s="33" t="n">
        <v>40</v>
      </c>
      <c r="B59" s="34">
        <f>ROUND(B4*(1+B5-B6*40)^(40-1),0)</f>
        <v/>
      </c>
      <c r="C59" s="34">
        <f>C58+B59</f>
        <v/>
      </c>
      <c r="D59" s="34">
        <f>ROUND(D58*(1-B10)+B59*(1-B7),0)</f>
        <v/>
      </c>
      <c r="E59" s="34">
        <f>ROUND(E58*(1-B9)+G59,0)</f>
        <v/>
      </c>
      <c r="F59" s="34">
        <f>D59+E59</f>
        <v/>
      </c>
      <c r="G59" s="34">
        <f>ROUND(B59*B7+D58*0.005,0)</f>
        <v/>
      </c>
      <c r="H59" s="35">
        <f>ROUND(E59*B8*(1+B11)^(INT((40-1)/12)),2)</f>
        <v/>
      </c>
      <c r="I59" s="35">
        <f>ROUND(H59*B12,2)</f>
        <v/>
      </c>
      <c r="J59" s="35">
        <f>H59-I59</f>
        <v/>
      </c>
      <c r="K59" s="35">
        <f>ROUND(B13*(1+F59/10000*0.5),2)</f>
        <v/>
      </c>
      <c r="L59" s="35">
        <f>B14</f>
        <v/>
      </c>
      <c r="M59" s="35">
        <f>ROUND(B59*(1-B16)*B15,2)</f>
        <v/>
      </c>
      <c r="N59" s="35">
        <f>K59+L59+M59</f>
        <v/>
      </c>
      <c r="O59" s="35">
        <f>J59-N59</f>
        <v/>
      </c>
      <c r="P59" s="35">
        <f>P58+O59</f>
        <v/>
      </c>
      <c r="Q59" s="35">
        <f>IF(F59&gt;0,ROUND(J59/F59,2),0)</f>
        <v/>
      </c>
      <c r="R59" s="35">
        <f>IF(B9&gt;0,ROUND(B8*(1-B12)/B9*(1+B11)^(INT((40-1)/12)),2),0)</f>
        <v/>
      </c>
      <c r="S59" s="36">
        <f>IF(F59&gt;0,E59/F59,0)</f>
        <v/>
      </c>
    </row>
    <row r="60">
      <c r="A60" s="29" t="n">
        <v>41</v>
      </c>
      <c r="B60" s="30">
        <f>ROUND(B4*(1+B5-B6*41)^(41-1),0)</f>
        <v/>
      </c>
      <c r="C60" s="30">
        <f>C59+B60</f>
        <v/>
      </c>
      <c r="D60" s="30">
        <f>ROUND(D59*(1-B10)+B60*(1-B7),0)</f>
        <v/>
      </c>
      <c r="E60" s="30">
        <f>ROUND(E59*(1-B9)+G60,0)</f>
        <v/>
      </c>
      <c r="F60" s="30">
        <f>D60+E60</f>
        <v/>
      </c>
      <c r="G60" s="30">
        <f>ROUND(B60*B7+D59*0.005,0)</f>
        <v/>
      </c>
      <c r="H60" s="31">
        <f>ROUND(E60*B8*(1+B11)^(INT((41-1)/12)),2)</f>
        <v/>
      </c>
      <c r="I60" s="31">
        <f>ROUND(H60*B12,2)</f>
        <v/>
      </c>
      <c r="J60" s="31">
        <f>H60-I60</f>
        <v/>
      </c>
      <c r="K60" s="31">
        <f>ROUND(B13*(1+F60/10000*0.5),2)</f>
        <v/>
      </c>
      <c r="L60" s="31">
        <f>B14</f>
        <v/>
      </c>
      <c r="M60" s="31">
        <f>ROUND(B60*(1-B16)*B15,2)</f>
        <v/>
      </c>
      <c r="N60" s="31">
        <f>K60+L60+M60</f>
        <v/>
      </c>
      <c r="O60" s="31">
        <f>J60-N60</f>
        <v/>
      </c>
      <c r="P60" s="31">
        <f>P59+O60</f>
        <v/>
      </c>
      <c r="Q60" s="31">
        <f>IF(F60&gt;0,ROUND(J60/F60,2),0)</f>
        <v/>
      </c>
      <c r="R60" s="31">
        <f>IF(B9&gt;0,ROUND(B8*(1-B12)/B9*(1+B11)^(INT((41-1)/12)),2),0)</f>
        <v/>
      </c>
      <c r="S60" s="32">
        <f>IF(F60&gt;0,E60/F60,0)</f>
        <v/>
      </c>
    </row>
    <row r="61">
      <c r="A61" s="33" t="n">
        <v>42</v>
      </c>
      <c r="B61" s="34">
        <f>ROUND(B4*(1+B5-B6*42)^(42-1),0)</f>
        <v/>
      </c>
      <c r="C61" s="34">
        <f>C60+B61</f>
        <v/>
      </c>
      <c r="D61" s="34">
        <f>ROUND(D60*(1-B10)+B61*(1-B7),0)</f>
        <v/>
      </c>
      <c r="E61" s="34">
        <f>ROUND(E60*(1-B9)+G61,0)</f>
        <v/>
      </c>
      <c r="F61" s="34">
        <f>D61+E61</f>
        <v/>
      </c>
      <c r="G61" s="34">
        <f>ROUND(B61*B7+D60*0.005,0)</f>
        <v/>
      </c>
      <c r="H61" s="35">
        <f>ROUND(E61*B8*(1+B11)^(INT((42-1)/12)),2)</f>
        <v/>
      </c>
      <c r="I61" s="35">
        <f>ROUND(H61*B12,2)</f>
        <v/>
      </c>
      <c r="J61" s="35">
        <f>H61-I61</f>
        <v/>
      </c>
      <c r="K61" s="35">
        <f>ROUND(B13*(1+F61/10000*0.5),2)</f>
        <v/>
      </c>
      <c r="L61" s="35">
        <f>B14</f>
        <v/>
      </c>
      <c r="M61" s="35">
        <f>ROUND(B61*(1-B16)*B15,2)</f>
        <v/>
      </c>
      <c r="N61" s="35">
        <f>K61+L61+M61</f>
        <v/>
      </c>
      <c r="O61" s="35">
        <f>J61-N61</f>
        <v/>
      </c>
      <c r="P61" s="35">
        <f>P60+O61</f>
        <v/>
      </c>
      <c r="Q61" s="35">
        <f>IF(F61&gt;0,ROUND(J61/F61,2),0)</f>
        <v/>
      </c>
      <c r="R61" s="35">
        <f>IF(B9&gt;0,ROUND(B8*(1-B12)/B9*(1+B11)^(INT((42-1)/12)),2),0)</f>
        <v/>
      </c>
      <c r="S61" s="36">
        <f>IF(F61&gt;0,E61/F61,0)</f>
        <v/>
      </c>
    </row>
    <row r="62">
      <c r="A62" s="29" t="n">
        <v>43</v>
      </c>
      <c r="B62" s="30">
        <f>ROUND(B4*(1+B5-B6*43)^(43-1),0)</f>
        <v/>
      </c>
      <c r="C62" s="30">
        <f>C61+B62</f>
        <v/>
      </c>
      <c r="D62" s="30">
        <f>ROUND(D61*(1-B10)+B62*(1-B7),0)</f>
        <v/>
      </c>
      <c r="E62" s="30">
        <f>ROUND(E61*(1-B9)+G62,0)</f>
        <v/>
      </c>
      <c r="F62" s="30">
        <f>D62+E62</f>
        <v/>
      </c>
      <c r="G62" s="30">
        <f>ROUND(B62*B7+D61*0.005,0)</f>
        <v/>
      </c>
      <c r="H62" s="31">
        <f>ROUND(E62*B8*(1+B11)^(INT((43-1)/12)),2)</f>
        <v/>
      </c>
      <c r="I62" s="31">
        <f>ROUND(H62*B12,2)</f>
        <v/>
      </c>
      <c r="J62" s="31">
        <f>H62-I62</f>
        <v/>
      </c>
      <c r="K62" s="31">
        <f>ROUND(B13*(1+F62/10000*0.5),2)</f>
        <v/>
      </c>
      <c r="L62" s="31">
        <f>B14</f>
        <v/>
      </c>
      <c r="M62" s="31">
        <f>ROUND(B62*(1-B16)*B15,2)</f>
        <v/>
      </c>
      <c r="N62" s="31">
        <f>K62+L62+M62</f>
        <v/>
      </c>
      <c r="O62" s="31">
        <f>J62-N62</f>
        <v/>
      </c>
      <c r="P62" s="31">
        <f>P61+O62</f>
        <v/>
      </c>
      <c r="Q62" s="31">
        <f>IF(F62&gt;0,ROUND(J62/F62,2),0)</f>
        <v/>
      </c>
      <c r="R62" s="31">
        <f>IF(B9&gt;0,ROUND(B8*(1-B12)/B9*(1+B11)^(INT((43-1)/12)),2),0)</f>
        <v/>
      </c>
      <c r="S62" s="32">
        <f>IF(F62&gt;0,E62/F62,0)</f>
        <v/>
      </c>
    </row>
    <row r="63">
      <c r="A63" s="33" t="n">
        <v>44</v>
      </c>
      <c r="B63" s="34">
        <f>ROUND(B4*(1+B5-B6*44)^(44-1),0)</f>
        <v/>
      </c>
      <c r="C63" s="34">
        <f>C62+B63</f>
        <v/>
      </c>
      <c r="D63" s="34">
        <f>ROUND(D62*(1-B10)+B63*(1-B7),0)</f>
        <v/>
      </c>
      <c r="E63" s="34">
        <f>ROUND(E62*(1-B9)+G63,0)</f>
        <v/>
      </c>
      <c r="F63" s="34">
        <f>D63+E63</f>
        <v/>
      </c>
      <c r="G63" s="34">
        <f>ROUND(B63*B7+D62*0.005,0)</f>
        <v/>
      </c>
      <c r="H63" s="35">
        <f>ROUND(E63*B8*(1+B11)^(INT((44-1)/12)),2)</f>
        <v/>
      </c>
      <c r="I63" s="35">
        <f>ROUND(H63*B12,2)</f>
        <v/>
      </c>
      <c r="J63" s="35">
        <f>H63-I63</f>
        <v/>
      </c>
      <c r="K63" s="35">
        <f>ROUND(B13*(1+F63/10000*0.5),2)</f>
        <v/>
      </c>
      <c r="L63" s="35">
        <f>B14</f>
        <v/>
      </c>
      <c r="M63" s="35">
        <f>ROUND(B63*(1-B16)*B15,2)</f>
        <v/>
      </c>
      <c r="N63" s="35">
        <f>K63+L63+M63</f>
        <v/>
      </c>
      <c r="O63" s="35">
        <f>J63-N63</f>
        <v/>
      </c>
      <c r="P63" s="35">
        <f>P62+O63</f>
        <v/>
      </c>
      <c r="Q63" s="35">
        <f>IF(F63&gt;0,ROUND(J63/F63,2),0)</f>
        <v/>
      </c>
      <c r="R63" s="35">
        <f>IF(B9&gt;0,ROUND(B8*(1-B12)/B9*(1+B11)^(INT((44-1)/12)),2),0)</f>
        <v/>
      </c>
      <c r="S63" s="36">
        <f>IF(F63&gt;0,E63/F63,0)</f>
        <v/>
      </c>
    </row>
    <row r="64">
      <c r="A64" s="29" t="n">
        <v>45</v>
      </c>
      <c r="B64" s="30">
        <f>ROUND(B4*(1+B5-B6*45)^(45-1),0)</f>
        <v/>
      </c>
      <c r="C64" s="30">
        <f>C63+B64</f>
        <v/>
      </c>
      <c r="D64" s="30">
        <f>ROUND(D63*(1-B10)+B64*(1-B7),0)</f>
        <v/>
      </c>
      <c r="E64" s="30">
        <f>ROUND(E63*(1-B9)+G64,0)</f>
        <v/>
      </c>
      <c r="F64" s="30">
        <f>D64+E64</f>
        <v/>
      </c>
      <c r="G64" s="30">
        <f>ROUND(B64*B7+D63*0.005,0)</f>
        <v/>
      </c>
      <c r="H64" s="31">
        <f>ROUND(E64*B8*(1+B11)^(INT((45-1)/12)),2)</f>
        <v/>
      </c>
      <c r="I64" s="31">
        <f>ROUND(H64*B12,2)</f>
        <v/>
      </c>
      <c r="J64" s="31">
        <f>H64-I64</f>
        <v/>
      </c>
      <c r="K64" s="31">
        <f>ROUND(B13*(1+F64/10000*0.5),2)</f>
        <v/>
      </c>
      <c r="L64" s="31">
        <f>B14</f>
        <v/>
      </c>
      <c r="M64" s="31">
        <f>ROUND(B64*(1-B16)*B15,2)</f>
        <v/>
      </c>
      <c r="N64" s="31">
        <f>K64+L64+M64</f>
        <v/>
      </c>
      <c r="O64" s="31">
        <f>J64-N64</f>
        <v/>
      </c>
      <c r="P64" s="31">
        <f>P63+O64</f>
        <v/>
      </c>
      <c r="Q64" s="31">
        <f>IF(F64&gt;0,ROUND(J64/F64,2),0)</f>
        <v/>
      </c>
      <c r="R64" s="31">
        <f>IF(B9&gt;0,ROUND(B8*(1-B12)/B9*(1+B11)^(INT((45-1)/12)),2),0)</f>
        <v/>
      </c>
      <c r="S64" s="32">
        <f>IF(F64&gt;0,E64/F64,0)</f>
        <v/>
      </c>
    </row>
    <row r="65">
      <c r="A65" s="33" t="n">
        <v>46</v>
      </c>
      <c r="B65" s="34">
        <f>ROUND(B4*(1+B5-B6*46)^(46-1),0)</f>
        <v/>
      </c>
      <c r="C65" s="34">
        <f>C64+B65</f>
        <v/>
      </c>
      <c r="D65" s="34">
        <f>ROUND(D64*(1-B10)+B65*(1-B7),0)</f>
        <v/>
      </c>
      <c r="E65" s="34">
        <f>ROUND(E64*(1-B9)+G65,0)</f>
        <v/>
      </c>
      <c r="F65" s="34">
        <f>D65+E65</f>
        <v/>
      </c>
      <c r="G65" s="34">
        <f>ROUND(B65*B7+D64*0.005,0)</f>
        <v/>
      </c>
      <c r="H65" s="35">
        <f>ROUND(E65*B8*(1+B11)^(INT((46-1)/12)),2)</f>
        <v/>
      </c>
      <c r="I65" s="35">
        <f>ROUND(H65*B12,2)</f>
        <v/>
      </c>
      <c r="J65" s="35">
        <f>H65-I65</f>
        <v/>
      </c>
      <c r="K65" s="35">
        <f>ROUND(B13*(1+F65/10000*0.5),2)</f>
        <v/>
      </c>
      <c r="L65" s="35">
        <f>B14</f>
        <v/>
      </c>
      <c r="M65" s="35">
        <f>ROUND(B65*(1-B16)*B15,2)</f>
        <v/>
      </c>
      <c r="N65" s="35">
        <f>K65+L65+M65</f>
        <v/>
      </c>
      <c r="O65" s="35">
        <f>J65-N65</f>
        <v/>
      </c>
      <c r="P65" s="35">
        <f>P64+O65</f>
        <v/>
      </c>
      <c r="Q65" s="35">
        <f>IF(F65&gt;0,ROUND(J65/F65,2),0)</f>
        <v/>
      </c>
      <c r="R65" s="35">
        <f>IF(B9&gt;0,ROUND(B8*(1-B12)/B9*(1+B11)^(INT((46-1)/12)),2),0)</f>
        <v/>
      </c>
      <c r="S65" s="36">
        <f>IF(F65&gt;0,E65/F65,0)</f>
        <v/>
      </c>
    </row>
    <row r="66">
      <c r="A66" s="29" t="n">
        <v>47</v>
      </c>
      <c r="B66" s="30">
        <f>ROUND(B4*(1+B5-B6*47)^(47-1),0)</f>
        <v/>
      </c>
      <c r="C66" s="30">
        <f>C65+B66</f>
        <v/>
      </c>
      <c r="D66" s="30">
        <f>ROUND(D65*(1-B10)+B66*(1-B7),0)</f>
        <v/>
      </c>
      <c r="E66" s="30">
        <f>ROUND(E65*(1-B9)+G66,0)</f>
        <v/>
      </c>
      <c r="F66" s="30">
        <f>D66+E66</f>
        <v/>
      </c>
      <c r="G66" s="30">
        <f>ROUND(B66*B7+D65*0.005,0)</f>
        <v/>
      </c>
      <c r="H66" s="31">
        <f>ROUND(E66*B8*(1+B11)^(INT((47-1)/12)),2)</f>
        <v/>
      </c>
      <c r="I66" s="31">
        <f>ROUND(H66*B12,2)</f>
        <v/>
      </c>
      <c r="J66" s="31">
        <f>H66-I66</f>
        <v/>
      </c>
      <c r="K66" s="31">
        <f>ROUND(B13*(1+F66/10000*0.5),2)</f>
        <v/>
      </c>
      <c r="L66" s="31">
        <f>B14</f>
        <v/>
      </c>
      <c r="M66" s="31">
        <f>ROUND(B66*(1-B16)*B15,2)</f>
        <v/>
      </c>
      <c r="N66" s="31">
        <f>K66+L66+M66</f>
        <v/>
      </c>
      <c r="O66" s="31">
        <f>J66-N66</f>
        <v/>
      </c>
      <c r="P66" s="31">
        <f>P65+O66</f>
        <v/>
      </c>
      <c r="Q66" s="31">
        <f>IF(F66&gt;0,ROUND(J66/F66,2),0)</f>
        <v/>
      </c>
      <c r="R66" s="31">
        <f>IF(B9&gt;0,ROUND(B8*(1-B12)/B9*(1+B11)^(INT((47-1)/12)),2),0)</f>
        <v/>
      </c>
      <c r="S66" s="32">
        <f>IF(F66&gt;0,E66/F66,0)</f>
        <v/>
      </c>
    </row>
    <row r="67">
      <c r="A67" s="33" t="n">
        <v>48</v>
      </c>
      <c r="B67" s="34">
        <f>ROUND(B4*(1+B5-B6*48)^(48-1),0)</f>
        <v/>
      </c>
      <c r="C67" s="34">
        <f>C66+B67</f>
        <v/>
      </c>
      <c r="D67" s="34">
        <f>ROUND(D66*(1-B10)+B67*(1-B7),0)</f>
        <v/>
      </c>
      <c r="E67" s="34">
        <f>ROUND(E66*(1-B9)+G67,0)</f>
        <v/>
      </c>
      <c r="F67" s="34">
        <f>D67+E67</f>
        <v/>
      </c>
      <c r="G67" s="34">
        <f>ROUND(B67*B7+D66*0.005,0)</f>
        <v/>
      </c>
      <c r="H67" s="35">
        <f>ROUND(E67*B8*(1+B11)^(INT((48-1)/12)),2)</f>
        <v/>
      </c>
      <c r="I67" s="35">
        <f>ROUND(H67*B12,2)</f>
        <v/>
      </c>
      <c r="J67" s="35">
        <f>H67-I67</f>
        <v/>
      </c>
      <c r="K67" s="35">
        <f>ROUND(B13*(1+F67/10000*0.5),2)</f>
        <v/>
      </c>
      <c r="L67" s="35">
        <f>B14</f>
        <v/>
      </c>
      <c r="M67" s="35">
        <f>ROUND(B67*(1-B16)*B15,2)</f>
        <v/>
      </c>
      <c r="N67" s="35">
        <f>K67+L67+M67</f>
        <v/>
      </c>
      <c r="O67" s="35">
        <f>J67-N67</f>
        <v/>
      </c>
      <c r="P67" s="35">
        <f>P66+O67</f>
        <v/>
      </c>
      <c r="Q67" s="35">
        <f>IF(F67&gt;0,ROUND(J67/F67,2),0)</f>
        <v/>
      </c>
      <c r="R67" s="35">
        <f>IF(B9&gt;0,ROUND(B8*(1-B12)/B9*(1+B11)^(INT((48-1)/12)),2),0)</f>
        <v/>
      </c>
      <c r="S67" s="36">
        <f>IF(F67&gt;0,E67/F67,0)</f>
        <v/>
      </c>
    </row>
    <row r="68">
      <c r="A68" s="29" t="n">
        <v>49</v>
      </c>
      <c r="B68" s="30">
        <f>ROUND(B4*(1+B5-B6*49)^(49-1),0)</f>
        <v/>
      </c>
      <c r="C68" s="30">
        <f>C67+B68</f>
        <v/>
      </c>
      <c r="D68" s="30">
        <f>ROUND(D67*(1-B10)+B68*(1-B7),0)</f>
        <v/>
      </c>
      <c r="E68" s="30">
        <f>ROUND(E67*(1-B9)+G68,0)</f>
        <v/>
      </c>
      <c r="F68" s="30">
        <f>D68+E68</f>
        <v/>
      </c>
      <c r="G68" s="30">
        <f>ROUND(B68*B7+D67*0.005,0)</f>
        <v/>
      </c>
      <c r="H68" s="31">
        <f>ROUND(E68*B8*(1+B11)^(INT((49-1)/12)),2)</f>
        <v/>
      </c>
      <c r="I68" s="31">
        <f>ROUND(H68*B12,2)</f>
        <v/>
      </c>
      <c r="J68" s="31">
        <f>H68-I68</f>
        <v/>
      </c>
      <c r="K68" s="31">
        <f>ROUND(B13*(1+F68/10000*0.5),2)</f>
        <v/>
      </c>
      <c r="L68" s="31">
        <f>B14</f>
        <v/>
      </c>
      <c r="M68" s="31">
        <f>ROUND(B68*(1-B16)*B15,2)</f>
        <v/>
      </c>
      <c r="N68" s="31">
        <f>K68+L68+M68</f>
        <v/>
      </c>
      <c r="O68" s="31">
        <f>J68-N68</f>
        <v/>
      </c>
      <c r="P68" s="31">
        <f>P67+O68</f>
        <v/>
      </c>
      <c r="Q68" s="31">
        <f>IF(F68&gt;0,ROUND(J68/F68,2),0)</f>
        <v/>
      </c>
      <c r="R68" s="31">
        <f>IF(B9&gt;0,ROUND(B8*(1-B12)/B9*(1+B11)^(INT((49-1)/12)),2),0)</f>
        <v/>
      </c>
      <c r="S68" s="32">
        <f>IF(F68&gt;0,E68/F68,0)</f>
        <v/>
      </c>
    </row>
    <row r="69">
      <c r="A69" s="33" t="n">
        <v>50</v>
      </c>
      <c r="B69" s="34">
        <f>ROUND(B4*(1+B5-B6*50)^(50-1),0)</f>
        <v/>
      </c>
      <c r="C69" s="34">
        <f>C68+B69</f>
        <v/>
      </c>
      <c r="D69" s="34">
        <f>ROUND(D68*(1-B10)+B69*(1-B7),0)</f>
        <v/>
      </c>
      <c r="E69" s="34">
        <f>ROUND(E68*(1-B9)+G69,0)</f>
        <v/>
      </c>
      <c r="F69" s="34">
        <f>D69+E69</f>
        <v/>
      </c>
      <c r="G69" s="34">
        <f>ROUND(B69*B7+D68*0.005,0)</f>
        <v/>
      </c>
      <c r="H69" s="35">
        <f>ROUND(E69*B8*(1+B11)^(INT((50-1)/12)),2)</f>
        <v/>
      </c>
      <c r="I69" s="35">
        <f>ROUND(H69*B12,2)</f>
        <v/>
      </c>
      <c r="J69" s="35">
        <f>H69-I69</f>
        <v/>
      </c>
      <c r="K69" s="35">
        <f>ROUND(B13*(1+F69/10000*0.5),2)</f>
        <v/>
      </c>
      <c r="L69" s="35">
        <f>B14</f>
        <v/>
      </c>
      <c r="M69" s="35">
        <f>ROUND(B69*(1-B16)*B15,2)</f>
        <v/>
      </c>
      <c r="N69" s="35">
        <f>K69+L69+M69</f>
        <v/>
      </c>
      <c r="O69" s="35">
        <f>J69-N69</f>
        <v/>
      </c>
      <c r="P69" s="35">
        <f>P68+O69</f>
        <v/>
      </c>
      <c r="Q69" s="35">
        <f>IF(F69&gt;0,ROUND(J69/F69,2),0)</f>
        <v/>
      </c>
      <c r="R69" s="35">
        <f>IF(B9&gt;0,ROUND(B8*(1-B12)/B9*(1+B11)^(INT((50-1)/12)),2),0)</f>
        <v/>
      </c>
      <c r="S69" s="36">
        <f>IF(F69&gt;0,E69/F69,0)</f>
        <v/>
      </c>
    </row>
    <row r="70">
      <c r="A70" s="29" t="n">
        <v>51</v>
      </c>
      <c r="B70" s="30">
        <f>ROUND(B4*(1+B5-B6*51)^(51-1),0)</f>
        <v/>
      </c>
      <c r="C70" s="30">
        <f>C69+B70</f>
        <v/>
      </c>
      <c r="D70" s="30">
        <f>ROUND(D69*(1-B10)+B70*(1-B7),0)</f>
        <v/>
      </c>
      <c r="E70" s="30">
        <f>ROUND(E69*(1-B9)+G70,0)</f>
        <v/>
      </c>
      <c r="F70" s="30">
        <f>D70+E70</f>
        <v/>
      </c>
      <c r="G70" s="30">
        <f>ROUND(B70*B7+D69*0.005,0)</f>
        <v/>
      </c>
      <c r="H70" s="31">
        <f>ROUND(E70*B8*(1+B11)^(INT((51-1)/12)),2)</f>
        <v/>
      </c>
      <c r="I70" s="31">
        <f>ROUND(H70*B12,2)</f>
        <v/>
      </c>
      <c r="J70" s="31">
        <f>H70-I70</f>
        <v/>
      </c>
      <c r="K70" s="31">
        <f>ROUND(B13*(1+F70/10000*0.5),2)</f>
        <v/>
      </c>
      <c r="L70" s="31">
        <f>B14</f>
        <v/>
      </c>
      <c r="M70" s="31">
        <f>ROUND(B70*(1-B16)*B15,2)</f>
        <v/>
      </c>
      <c r="N70" s="31">
        <f>K70+L70+M70</f>
        <v/>
      </c>
      <c r="O70" s="31">
        <f>J70-N70</f>
        <v/>
      </c>
      <c r="P70" s="31">
        <f>P69+O70</f>
        <v/>
      </c>
      <c r="Q70" s="31">
        <f>IF(F70&gt;0,ROUND(J70/F70,2),0)</f>
        <v/>
      </c>
      <c r="R70" s="31">
        <f>IF(B9&gt;0,ROUND(B8*(1-B12)/B9*(1+B11)^(INT((51-1)/12)),2),0)</f>
        <v/>
      </c>
      <c r="S70" s="32">
        <f>IF(F70&gt;0,E70/F70,0)</f>
        <v/>
      </c>
    </row>
    <row r="71">
      <c r="A71" s="33" t="n">
        <v>52</v>
      </c>
      <c r="B71" s="34">
        <f>ROUND(B4*(1+B5-B6*52)^(52-1),0)</f>
        <v/>
      </c>
      <c r="C71" s="34">
        <f>C70+B71</f>
        <v/>
      </c>
      <c r="D71" s="34">
        <f>ROUND(D70*(1-B10)+B71*(1-B7),0)</f>
        <v/>
      </c>
      <c r="E71" s="34">
        <f>ROUND(E70*(1-B9)+G71,0)</f>
        <v/>
      </c>
      <c r="F71" s="34">
        <f>D71+E71</f>
        <v/>
      </c>
      <c r="G71" s="34">
        <f>ROUND(B71*B7+D70*0.005,0)</f>
        <v/>
      </c>
      <c r="H71" s="35">
        <f>ROUND(E71*B8*(1+B11)^(INT((52-1)/12)),2)</f>
        <v/>
      </c>
      <c r="I71" s="35">
        <f>ROUND(H71*B12,2)</f>
        <v/>
      </c>
      <c r="J71" s="35">
        <f>H71-I71</f>
        <v/>
      </c>
      <c r="K71" s="35">
        <f>ROUND(B13*(1+F71/10000*0.5),2)</f>
        <v/>
      </c>
      <c r="L71" s="35">
        <f>B14</f>
        <v/>
      </c>
      <c r="M71" s="35">
        <f>ROUND(B71*(1-B16)*B15,2)</f>
        <v/>
      </c>
      <c r="N71" s="35">
        <f>K71+L71+M71</f>
        <v/>
      </c>
      <c r="O71" s="35">
        <f>J71-N71</f>
        <v/>
      </c>
      <c r="P71" s="35">
        <f>P70+O71</f>
        <v/>
      </c>
      <c r="Q71" s="35">
        <f>IF(F71&gt;0,ROUND(J71/F71,2),0)</f>
        <v/>
      </c>
      <c r="R71" s="35">
        <f>IF(B9&gt;0,ROUND(B8*(1-B12)/B9*(1+B11)^(INT((52-1)/12)),2),0)</f>
        <v/>
      </c>
      <c r="S71" s="36">
        <f>IF(F71&gt;0,E71/F71,0)</f>
        <v/>
      </c>
    </row>
    <row r="72">
      <c r="A72" s="29" t="n">
        <v>53</v>
      </c>
      <c r="B72" s="30">
        <f>ROUND(B4*(1+B5-B6*53)^(53-1),0)</f>
        <v/>
      </c>
      <c r="C72" s="30">
        <f>C71+B72</f>
        <v/>
      </c>
      <c r="D72" s="30">
        <f>ROUND(D71*(1-B10)+B72*(1-B7),0)</f>
        <v/>
      </c>
      <c r="E72" s="30">
        <f>ROUND(E71*(1-B9)+G72,0)</f>
        <v/>
      </c>
      <c r="F72" s="30">
        <f>D72+E72</f>
        <v/>
      </c>
      <c r="G72" s="30">
        <f>ROUND(B72*B7+D71*0.005,0)</f>
        <v/>
      </c>
      <c r="H72" s="31">
        <f>ROUND(E72*B8*(1+B11)^(INT((53-1)/12)),2)</f>
        <v/>
      </c>
      <c r="I72" s="31">
        <f>ROUND(H72*B12,2)</f>
        <v/>
      </c>
      <c r="J72" s="31">
        <f>H72-I72</f>
        <v/>
      </c>
      <c r="K72" s="31">
        <f>ROUND(B13*(1+F72/10000*0.5),2)</f>
        <v/>
      </c>
      <c r="L72" s="31">
        <f>B14</f>
        <v/>
      </c>
      <c r="M72" s="31">
        <f>ROUND(B72*(1-B16)*B15,2)</f>
        <v/>
      </c>
      <c r="N72" s="31">
        <f>K72+L72+M72</f>
        <v/>
      </c>
      <c r="O72" s="31">
        <f>J72-N72</f>
        <v/>
      </c>
      <c r="P72" s="31">
        <f>P71+O72</f>
        <v/>
      </c>
      <c r="Q72" s="31">
        <f>IF(F72&gt;0,ROUND(J72/F72,2),0)</f>
        <v/>
      </c>
      <c r="R72" s="31">
        <f>IF(B9&gt;0,ROUND(B8*(1-B12)/B9*(1+B11)^(INT((53-1)/12)),2),0)</f>
        <v/>
      </c>
      <c r="S72" s="32">
        <f>IF(F72&gt;0,E72/F72,0)</f>
        <v/>
      </c>
    </row>
    <row r="73">
      <c r="A73" s="33" t="n">
        <v>54</v>
      </c>
      <c r="B73" s="34">
        <f>ROUND(B4*(1+B5-B6*54)^(54-1),0)</f>
        <v/>
      </c>
      <c r="C73" s="34">
        <f>C72+B73</f>
        <v/>
      </c>
      <c r="D73" s="34">
        <f>ROUND(D72*(1-B10)+B73*(1-B7),0)</f>
        <v/>
      </c>
      <c r="E73" s="34">
        <f>ROUND(E72*(1-B9)+G73,0)</f>
        <v/>
      </c>
      <c r="F73" s="34">
        <f>D73+E73</f>
        <v/>
      </c>
      <c r="G73" s="34">
        <f>ROUND(B73*B7+D72*0.005,0)</f>
        <v/>
      </c>
      <c r="H73" s="35">
        <f>ROUND(E73*B8*(1+B11)^(INT((54-1)/12)),2)</f>
        <v/>
      </c>
      <c r="I73" s="35">
        <f>ROUND(H73*B12,2)</f>
        <v/>
      </c>
      <c r="J73" s="35">
        <f>H73-I73</f>
        <v/>
      </c>
      <c r="K73" s="35">
        <f>ROUND(B13*(1+F73/10000*0.5),2)</f>
        <v/>
      </c>
      <c r="L73" s="35">
        <f>B14</f>
        <v/>
      </c>
      <c r="M73" s="35">
        <f>ROUND(B73*(1-B16)*B15,2)</f>
        <v/>
      </c>
      <c r="N73" s="35">
        <f>K73+L73+M73</f>
        <v/>
      </c>
      <c r="O73" s="35">
        <f>J73-N73</f>
        <v/>
      </c>
      <c r="P73" s="35">
        <f>P72+O73</f>
        <v/>
      </c>
      <c r="Q73" s="35">
        <f>IF(F73&gt;0,ROUND(J73/F73,2),0)</f>
        <v/>
      </c>
      <c r="R73" s="35">
        <f>IF(B9&gt;0,ROUND(B8*(1-B12)/B9*(1+B11)^(INT((54-1)/12)),2),0)</f>
        <v/>
      </c>
      <c r="S73" s="36">
        <f>IF(F73&gt;0,E73/F73,0)</f>
        <v/>
      </c>
    </row>
    <row r="74">
      <c r="A74" s="29" t="n">
        <v>55</v>
      </c>
      <c r="B74" s="30">
        <f>ROUND(B4*(1+B5-B6*55)^(55-1),0)</f>
        <v/>
      </c>
      <c r="C74" s="30">
        <f>C73+B74</f>
        <v/>
      </c>
      <c r="D74" s="30">
        <f>ROUND(D73*(1-B10)+B74*(1-B7),0)</f>
        <v/>
      </c>
      <c r="E74" s="30">
        <f>ROUND(E73*(1-B9)+G74,0)</f>
        <v/>
      </c>
      <c r="F74" s="30">
        <f>D74+E74</f>
        <v/>
      </c>
      <c r="G74" s="30">
        <f>ROUND(B74*B7+D73*0.005,0)</f>
        <v/>
      </c>
      <c r="H74" s="31">
        <f>ROUND(E74*B8*(1+B11)^(INT((55-1)/12)),2)</f>
        <v/>
      </c>
      <c r="I74" s="31">
        <f>ROUND(H74*B12,2)</f>
        <v/>
      </c>
      <c r="J74" s="31">
        <f>H74-I74</f>
        <v/>
      </c>
      <c r="K74" s="31">
        <f>ROUND(B13*(1+F74/10000*0.5),2)</f>
        <v/>
      </c>
      <c r="L74" s="31">
        <f>B14</f>
        <v/>
      </c>
      <c r="M74" s="31">
        <f>ROUND(B74*(1-B16)*B15,2)</f>
        <v/>
      </c>
      <c r="N74" s="31">
        <f>K74+L74+M74</f>
        <v/>
      </c>
      <c r="O74" s="31">
        <f>J74-N74</f>
        <v/>
      </c>
      <c r="P74" s="31">
        <f>P73+O74</f>
        <v/>
      </c>
      <c r="Q74" s="31">
        <f>IF(F74&gt;0,ROUND(J74/F74,2),0)</f>
        <v/>
      </c>
      <c r="R74" s="31">
        <f>IF(B9&gt;0,ROUND(B8*(1-B12)/B9*(1+B11)^(INT((55-1)/12)),2),0)</f>
        <v/>
      </c>
      <c r="S74" s="32">
        <f>IF(F74&gt;0,E74/F74,0)</f>
        <v/>
      </c>
    </row>
    <row r="75">
      <c r="A75" s="33" t="n">
        <v>56</v>
      </c>
      <c r="B75" s="34">
        <f>ROUND(B4*(1+B5-B6*56)^(56-1),0)</f>
        <v/>
      </c>
      <c r="C75" s="34">
        <f>C74+B75</f>
        <v/>
      </c>
      <c r="D75" s="34">
        <f>ROUND(D74*(1-B10)+B75*(1-B7),0)</f>
        <v/>
      </c>
      <c r="E75" s="34">
        <f>ROUND(E74*(1-B9)+G75,0)</f>
        <v/>
      </c>
      <c r="F75" s="34">
        <f>D75+E75</f>
        <v/>
      </c>
      <c r="G75" s="34">
        <f>ROUND(B75*B7+D74*0.005,0)</f>
        <v/>
      </c>
      <c r="H75" s="35">
        <f>ROUND(E75*B8*(1+B11)^(INT((56-1)/12)),2)</f>
        <v/>
      </c>
      <c r="I75" s="35">
        <f>ROUND(H75*B12,2)</f>
        <v/>
      </c>
      <c r="J75" s="35">
        <f>H75-I75</f>
        <v/>
      </c>
      <c r="K75" s="35">
        <f>ROUND(B13*(1+F75/10000*0.5),2)</f>
        <v/>
      </c>
      <c r="L75" s="35">
        <f>B14</f>
        <v/>
      </c>
      <c r="M75" s="35">
        <f>ROUND(B75*(1-B16)*B15,2)</f>
        <v/>
      </c>
      <c r="N75" s="35">
        <f>K75+L75+M75</f>
        <v/>
      </c>
      <c r="O75" s="35">
        <f>J75-N75</f>
        <v/>
      </c>
      <c r="P75" s="35">
        <f>P74+O75</f>
        <v/>
      </c>
      <c r="Q75" s="35">
        <f>IF(F75&gt;0,ROUND(J75/F75,2),0)</f>
        <v/>
      </c>
      <c r="R75" s="35">
        <f>IF(B9&gt;0,ROUND(B8*(1-B12)/B9*(1+B11)^(INT((56-1)/12)),2),0)</f>
        <v/>
      </c>
      <c r="S75" s="36">
        <f>IF(F75&gt;0,E75/F75,0)</f>
        <v/>
      </c>
    </row>
    <row r="76">
      <c r="A76" s="29" t="n">
        <v>57</v>
      </c>
      <c r="B76" s="30">
        <f>ROUND(B4*(1+B5-B6*57)^(57-1),0)</f>
        <v/>
      </c>
      <c r="C76" s="30">
        <f>C75+B76</f>
        <v/>
      </c>
      <c r="D76" s="30">
        <f>ROUND(D75*(1-B10)+B76*(1-B7),0)</f>
        <v/>
      </c>
      <c r="E76" s="30">
        <f>ROUND(E75*(1-B9)+G76,0)</f>
        <v/>
      </c>
      <c r="F76" s="30">
        <f>D76+E76</f>
        <v/>
      </c>
      <c r="G76" s="30">
        <f>ROUND(B76*B7+D75*0.005,0)</f>
        <v/>
      </c>
      <c r="H76" s="31">
        <f>ROUND(E76*B8*(1+B11)^(INT((57-1)/12)),2)</f>
        <v/>
      </c>
      <c r="I76" s="31">
        <f>ROUND(H76*B12,2)</f>
        <v/>
      </c>
      <c r="J76" s="31">
        <f>H76-I76</f>
        <v/>
      </c>
      <c r="K76" s="31">
        <f>ROUND(B13*(1+F76/10000*0.5),2)</f>
        <v/>
      </c>
      <c r="L76" s="31">
        <f>B14</f>
        <v/>
      </c>
      <c r="M76" s="31">
        <f>ROUND(B76*(1-B16)*B15,2)</f>
        <v/>
      </c>
      <c r="N76" s="31">
        <f>K76+L76+M76</f>
        <v/>
      </c>
      <c r="O76" s="31">
        <f>J76-N76</f>
        <v/>
      </c>
      <c r="P76" s="31">
        <f>P75+O76</f>
        <v/>
      </c>
      <c r="Q76" s="31">
        <f>IF(F76&gt;0,ROUND(J76/F76,2),0)</f>
        <v/>
      </c>
      <c r="R76" s="31">
        <f>IF(B9&gt;0,ROUND(B8*(1-B12)/B9*(1+B11)^(INT((57-1)/12)),2),0)</f>
        <v/>
      </c>
      <c r="S76" s="32">
        <f>IF(F76&gt;0,E76/F76,0)</f>
        <v/>
      </c>
    </row>
    <row r="77">
      <c r="A77" s="33" t="n">
        <v>58</v>
      </c>
      <c r="B77" s="34">
        <f>ROUND(B4*(1+B5-B6*58)^(58-1),0)</f>
        <v/>
      </c>
      <c r="C77" s="34">
        <f>C76+B77</f>
        <v/>
      </c>
      <c r="D77" s="34">
        <f>ROUND(D76*(1-B10)+B77*(1-B7),0)</f>
        <v/>
      </c>
      <c r="E77" s="34">
        <f>ROUND(E76*(1-B9)+G77,0)</f>
        <v/>
      </c>
      <c r="F77" s="34">
        <f>D77+E77</f>
        <v/>
      </c>
      <c r="G77" s="34">
        <f>ROUND(B77*B7+D76*0.005,0)</f>
        <v/>
      </c>
      <c r="H77" s="35">
        <f>ROUND(E77*B8*(1+B11)^(INT((58-1)/12)),2)</f>
        <v/>
      </c>
      <c r="I77" s="35">
        <f>ROUND(H77*B12,2)</f>
        <v/>
      </c>
      <c r="J77" s="35">
        <f>H77-I77</f>
        <v/>
      </c>
      <c r="K77" s="35">
        <f>ROUND(B13*(1+F77/10000*0.5),2)</f>
        <v/>
      </c>
      <c r="L77" s="35">
        <f>B14</f>
        <v/>
      </c>
      <c r="M77" s="35">
        <f>ROUND(B77*(1-B16)*B15,2)</f>
        <v/>
      </c>
      <c r="N77" s="35">
        <f>K77+L77+M77</f>
        <v/>
      </c>
      <c r="O77" s="35">
        <f>J77-N77</f>
        <v/>
      </c>
      <c r="P77" s="35">
        <f>P76+O77</f>
        <v/>
      </c>
      <c r="Q77" s="35">
        <f>IF(F77&gt;0,ROUND(J77/F77,2),0)</f>
        <v/>
      </c>
      <c r="R77" s="35">
        <f>IF(B9&gt;0,ROUND(B8*(1-B12)/B9*(1+B11)^(INT((58-1)/12)),2),0)</f>
        <v/>
      </c>
      <c r="S77" s="36">
        <f>IF(F77&gt;0,E77/F77,0)</f>
        <v/>
      </c>
    </row>
    <row r="78">
      <c r="A78" s="29" t="n">
        <v>59</v>
      </c>
      <c r="B78" s="30">
        <f>ROUND(B4*(1+B5-B6*59)^(59-1),0)</f>
        <v/>
      </c>
      <c r="C78" s="30">
        <f>C77+B78</f>
        <v/>
      </c>
      <c r="D78" s="30">
        <f>ROUND(D77*(1-B10)+B78*(1-B7),0)</f>
        <v/>
      </c>
      <c r="E78" s="30">
        <f>ROUND(E77*(1-B9)+G78,0)</f>
        <v/>
      </c>
      <c r="F78" s="30">
        <f>D78+E78</f>
        <v/>
      </c>
      <c r="G78" s="30">
        <f>ROUND(B78*B7+D77*0.005,0)</f>
        <v/>
      </c>
      <c r="H78" s="31">
        <f>ROUND(E78*B8*(1+B11)^(INT((59-1)/12)),2)</f>
        <v/>
      </c>
      <c r="I78" s="31">
        <f>ROUND(H78*B12,2)</f>
        <v/>
      </c>
      <c r="J78" s="31">
        <f>H78-I78</f>
        <v/>
      </c>
      <c r="K78" s="31">
        <f>ROUND(B13*(1+F78/10000*0.5),2)</f>
        <v/>
      </c>
      <c r="L78" s="31">
        <f>B14</f>
        <v/>
      </c>
      <c r="M78" s="31">
        <f>ROUND(B78*(1-B16)*B15,2)</f>
        <v/>
      </c>
      <c r="N78" s="31">
        <f>K78+L78+M78</f>
        <v/>
      </c>
      <c r="O78" s="31">
        <f>J78-N78</f>
        <v/>
      </c>
      <c r="P78" s="31">
        <f>P77+O78</f>
        <v/>
      </c>
      <c r="Q78" s="31">
        <f>IF(F78&gt;0,ROUND(J78/F78,2),0)</f>
        <v/>
      </c>
      <c r="R78" s="31">
        <f>IF(B9&gt;0,ROUND(B8*(1-B12)/B9*(1+B11)^(INT((59-1)/12)),2),0)</f>
        <v/>
      </c>
      <c r="S78" s="32">
        <f>IF(F78&gt;0,E78/F78,0)</f>
        <v/>
      </c>
    </row>
    <row r="79">
      <c r="A79" s="33" t="n">
        <v>60</v>
      </c>
      <c r="B79" s="34">
        <f>ROUND(B4*(1+B5-B6*60)^(60-1),0)</f>
        <v/>
      </c>
      <c r="C79" s="34">
        <f>C78+B79</f>
        <v/>
      </c>
      <c r="D79" s="34">
        <f>ROUND(D78*(1-B10)+B79*(1-B7),0)</f>
        <v/>
      </c>
      <c r="E79" s="34">
        <f>ROUND(E78*(1-B9)+G79,0)</f>
        <v/>
      </c>
      <c r="F79" s="34">
        <f>D79+E79</f>
        <v/>
      </c>
      <c r="G79" s="34">
        <f>ROUND(B79*B7+D78*0.005,0)</f>
        <v/>
      </c>
      <c r="H79" s="35">
        <f>ROUND(E79*B8*(1+B11)^(INT((60-1)/12)),2)</f>
        <v/>
      </c>
      <c r="I79" s="35">
        <f>ROUND(H79*B12,2)</f>
        <v/>
      </c>
      <c r="J79" s="35">
        <f>H79-I79</f>
        <v/>
      </c>
      <c r="K79" s="35">
        <f>ROUND(B13*(1+F79/10000*0.5),2)</f>
        <v/>
      </c>
      <c r="L79" s="35">
        <f>B14</f>
        <v/>
      </c>
      <c r="M79" s="35">
        <f>ROUND(B79*(1-B16)*B15,2)</f>
        <v/>
      </c>
      <c r="N79" s="35">
        <f>K79+L79+M79</f>
        <v/>
      </c>
      <c r="O79" s="35">
        <f>J79-N79</f>
        <v/>
      </c>
      <c r="P79" s="35">
        <f>P78+O79</f>
        <v/>
      </c>
      <c r="Q79" s="35">
        <f>IF(F79&gt;0,ROUND(J79/F79,2),0)</f>
        <v/>
      </c>
      <c r="R79" s="35">
        <f>IF(B9&gt;0,ROUND(B8*(1-B12)/B9*(1+B11)^(INT((60-1)/12)),2),0)</f>
        <v/>
      </c>
      <c r="S79" s="36">
        <f>IF(F79&gt;0,E79/F79,0)</f>
        <v/>
      </c>
    </row>
    <row r="80">
      <c r="A80" s="37" t="inlineStr">
        <is>
          <t>TOTALS</t>
        </is>
      </c>
      <c r="C80" s="38">
        <f>SUM(C20:C79)</f>
        <v/>
      </c>
      <c r="H80" s="39">
        <f>SUM(H20:H79)</f>
        <v/>
      </c>
      <c r="I80" s="39">
        <f>SUM(I20:I79)</f>
        <v/>
      </c>
      <c r="J80" s="39">
        <f>SUM(J20:J79)</f>
        <v/>
      </c>
      <c r="K80" s="39">
        <f>SUM(K20:K79)</f>
        <v/>
      </c>
      <c r="L80" s="39">
        <f>SUM(L20:L79)</f>
        <v/>
      </c>
      <c r="M80" s="39">
        <f>SUM(M20:M79)</f>
        <v/>
      </c>
      <c r="N80" s="39">
        <f>SUM(N20:N79)</f>
        <v/>
      </c>
      <c r="O80" s="39">
        <f>SUM(O20:O79)</f>
        <v/>
      </c>
    </row>
  </sheetData>
  <mergeCells count="3">
    <mergeCell ref="A18:S18"/>
    <mergeCell ref="A3:C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REVENUE BREAKDOWN BY STREAM — QUARTERLY PROJECTIONS</t>
        </is>
      </c>
    </row>
    <row r="3">
      <c r="A3" s="3" t="inlineStr">
        <is>
          <t>REVENUE MIX ASSUMPTIONS (% of Gross Revenue)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10" t="inlineStr">
        <is>
          <t>Revenue Stream</t>
        </is>
      </c>
      <c r="B4" s="10" t="inlineStr">
        <is>
          <t>Year 1 Mix</t>
        </is>
      </c>
      <c r="C4" s="10" t="inlineStr">
        <is>
          <t>Year 2 Mix</t>
        </is>
      </c>
      <c r="D4" s="10" t="inlineStr">
        <is>
          <t>Year 3 Mix</t>
        </is>
      </c>
      <c r="E4" s="10" t="inlineStr">
        <is>
          <t>Year 4 Mix</t>
        </is>
      </c>
      <c r="F4" s="10" t="inlineStr">
        <is>
          <t>Year 5 Mix</t>
        </is>
      </c>
      <c r="G4" s="10" t="inlineStr">
        <is>
          <t>Avg. Transaction</t>
        </is>
      </c>
      <c r="H4" s="10" t="inlineStr">
        <is>
          <t>Notes</t>
        </is>
      </c>
    </row>
    <row r="5">
      <c r="A5" s="40" t="inlineStr">
        <is>
          <t>Coin Pack — Starter ($0.99)</t>
        </is>
      </c>
      <c r="B5" s="19" t="n">
        <v>0.15</v>
      </c>
      <c r="C5" s="19" t="n">
        <v>0.1</v>
      </c>
      <c r="D5" s="19" t="n">
        <v>0.08</v>
      </c>
      <c r="E5" s="19" t="n">
        <v>0.06</v>
      </c>
      <c r="F5" s="19" t="n">
        <v>0.05</v>
      </c>
      <c r="G5" s="12" t="n">
        <v>0.99</v>
      </c>
      <c r="H5" s="17" t="inlineStr">
        <is>
          <t>Entry-level, high volume</t>
        </is>
      </c>
    </row>
    <row r="6">
      <c r="A6" s="41" t="inlineStr">
        <is>
          <t>Coin Pack — Popular ($4.99)</t>
        </is>
      </c>
      <c r="B6" s="21" t="n">
        <v>0.25</v>
      </c>
      <c r="C6" s="21" t="n">
        <v>0.22</v>
      </c>
      <c r="D6" s="21" t="n">
        <v>0.2</v>
      </c>
      <c r="E6" s="21" t="n">
        <v>0.18</v>
      </c>
      <c r="F6" s="21" t="n">
        <v>0.15</v>
      </c>
      <c r="G6" s="15" t="n">
        <v>4.99</v>
      </c>
      <c r="H6" s="18" t="inlineStr">
        <is>
          <t>Best value perception</t>
        </is>
      </c>
    </row>
    <row r="7">
      <c r="A7" s="40" t="inlineStr">
        <is>
          <t>Coin Pack — Big Spender ($9.99)</t>
        </is>
      </c>
      <c r="B7" s="19" t="n">
        <v>0.15</v>
      </c>
      <c r="C7" s="19" t="n">
        <v>0.18</v>
      </c>
      <c r="D7" s="19" t="n">
        <v>0.18</v>
      </c>
      <c r="E7" s="19" t="n">
        <v>0.17</v>
      </c>
      <c r="F7" s="19" t="n">
        <v>0.15</v>
      </c>
      <c r="G7" s="12" t="n">
        <v>9.99</v>
      </c>
      <c r="H7" s="17" t="inlineStr">
        <is>
          <t>Mid-tier spenders</t>
        </is>
      </c>
    </row>
    <row r="8">
      <c r="A8" s="41" t="inlineStr">
        <is>
          <t>Coin Pack — Whale ($24.99)</t>
        </is>
      </c>
      <c r="B8" s="21" t="n">
        <v>0.05</v>
      </c>
      <c r="C8" s="21" t="n">
        <v>0.08</v>
      </c>
      <c r="D8" s="21" t="n">
        <v>0.1</v>
      </c>
      <c r="E8" s="21" t="n">
        <v>0.12</v>
      </c>
      <c r="F8" s="21" t="n">
        <v>0.15</v>
      </c>
      <c r="G8" s="15" t="n">
        <v>24.99</v>
      </c>
      <c r="H8" s="18" t="inlineStr">
        <is>
          <t>Whale segment grows</t>
        </is>
      </c>
    </row>
    <row r="9">
      <c r="A9" s="40" t="inlineStr">
        <is>
          <t>Season Pass — Premium ($9.99)</t>
        </is>
      </c>
      <c r="B9" s="19" t="n">
        <v>0.25</v>
      </c>
      <c r="C9" s="19" t="n">
        <v>0.22</v>
      </c>
      <c r="D9" s="19" t="n">
        <v>0.2</v>
      </c>
      <c r="E9" s="19" t="n">
        <v>0.2</v>
      </c>
      <c r="F9" s="19" t="n">
        <v>0.18</v>
      </c>
      <c r="G9" s="12" t="n">
        <v>9.99</v>
      </c>
      <c r="H9" s="17" t="inlineStr">
        <is>
          <t>Core recurring</t>
        </is>
      </c>
    </row>
    <row r="10">
      <c r="A10" s="41" t="inlineStr">
        <is>
          <t>Season Pass — Plus ($24.99)</t>
        </is>
      </c>
      <c r="B10" s="21" t="n">
        <v>0.1</v>
      </c>
      <c r="C10" s="21" t="n">
        <v>0.12</v>
      </c>
      <c r="D10" s="21" t="n">
        <v>0.14</v>
      </c>
      <c r="E10" s="21" t="n">
        <v>0.15</v>
      </c>
      <c r="F10" s="21" t="n">
        <v>0.17</v>
      </c>
      <c r="G10" s="15" t="n">
        <v>24.99</v>
      </c>
      <c r="H10" s="18" t="inlineStr">
        <is>
          <t>Premium recurring</t>
        </is>
      </c>
    </row>
    <row r="11">
      <c r="A11" s="40" t="inlineStr">
        <is>
          <t>Cosmetics/Skins (Future)</t>
        </is>
      </c>
      <c r="B11" s="19" t="n">
        <v>0</v>
      </c>
      <c r="C11" s="19" t="n">
        <v>0.05</v>
      </c>
      <c r="D11" s="19" t="n">
        <v>0.07000000000000001</v>
      </c>
      <c r="E11" s="19" t="n">
        <v>0.08</v>
      </c>
      <c r="F11" s="19" t="n">
        <v>0.1</v>
      </c>
      <c r="G11" s="12" t="n">
        <v>2.99</v>
      </c>
      <c r="H11" s="17" t="inlineStr">
        <is>
          <t>Phase C+</t>
        </is>
      </c>
    </row>
    <row r="12">
      <c r="A12" s="41" t="inlineStr">
        <is>
          <t>Rewarded Ads (Future)</t>
        </is>
      </c>
      <c r="B12" s="21" t="n">
        <v>0.05</v>
      </c>
      <c r="C12" s="21" t="n">
        <v>0.03</v>
      </c>
      <c r="D12" s="21" t="n">
        <v>0.03</v>
      </c>
      <c r="E12" s="21" t="n">
        <v>0.04</v>
      </c>
      <c r="F12" s="21" t="n">
        <v>0.05</v>
      </c>
      <c r="G12" s="15" t="n">
        <v>0.02</v>
      </c>
      <c r="H12" s="18" t="inlineStr">
        <is>
          <t>Per impression eCPM</t>
        </is>
      </c>
    </row>
    <row r="13">
      <c r="A13" s="42" t="inlineStr">
        <is>
          <t>TOTAL</t>
        </is>
      </c>
      <c r="B13" s="43">
        <f>SUM(B5:B12)</f>
        <v/>
      </c>
      <c r="C13" s="43">
        <f>SUM(C5:C12)</f>
        <v/>
      </c>
      <c r="D13" s="43">
        <f>SUM(D5:D12)</f>
        <v/>
      </c>
      <c r="E13" s="43">
        <f>SUM(E5:E12)</f>
        <v/>
      </c>
      <c r="F13" s="43">
        <f>SUM(F5:F12)</f>
        <v/>
      </c>
    </row>
    <row r="16">
      <c r="A16" s="3" t="inlineStr">
        <is>
          <t>QUARTERLY REVENUE BY STREAM (Estimated)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10" t="inlineStr">
        <is>
          <t>Quarter</t>
        </is>
      </c>
      <c r="B17" s="10" t="inlineStr">
        <is>
          <t>Coin Packs</t>
        </is>
      </c>
      <c r="C17" s="10" t="inlineStr">
        <is>
          <t>Season Pass Premium</t>
        </is>
      </c>
      <c r="D17" s="10" t="inlineStr">
        <is>
          <t>Season Pass Plus</t>
        </is>
      </c>
      <c r="E17" s="10" t="inlineStr">
        <is>
          <t>Cosmetics</t>
        </is>
      </c>
      <c r="F17" s="10" t="inlineStr">
        <is>
          <t>Ads</t>
        </is>
      </c>
      <c r="G17" s="10" t="inlineStr">
        <is>
          <t>Total Gross</t>
        </is>
      </c>
      <c r="H17" s="10" t="inlineStr">
        <is>
          <t>Total Net (after 15% fee)</t>
        </is>
      </c>
    </row>
    <row r="18">
      <c r="A18" s="44" t="inlineStr">
        <is>
          <t>Q1 Y1</t>
        </is>
      </c>
      <c r="B18" s="20" t="n">
        <v>450</v>
      </c>
      <c r="C18" s="20" t="n">
        <v>375</v>
      </c>
      <c r="D18" s="20" t="n">
        <v>150</v>
      </c>
      <c r="E18" s="20" t="n">
        <v>0</v>
      </c>
      <c r="F18" s="20" t="n">
        <v>75</v>
      </c>
      <c r="G18" s="20" t="n">
        <v>1050</v>
      </c>
      <c r="H18" s="20" t="n">
        <v>892.5</v>
      </c>
    </row>
    <row r="19">
      <c r="A19" s="45" t="inlineStr">
        <is>
          <t>Q2 Y1</t>
        </is>
      </c>
      <c r="B19" s="22" t="n">
        <v>900</v>
      </c>
      <c r="C19" s="22" t="n">
        <v>660</v>
      </c>
      <c r="D19" s="22" t="n">
        <v>300</v>
      </c>
      <c r="E19" s="22" t="n">
        <v>0</v>
      </c>
      <c r="F19" s="22" t="n">
        <v>90</v>
      </c>
      <c r="G19" s="22" t="n">
        <v>1950</v>
      </c>
      <c r="H19" s="22" t="n">
        <v>1657.5</v>
      </c>
    </row>
    <row r="20">
      <c r="A20" s="44" t="inlineStr">
        <is>
          <t>Q3 Y1</t>
        </is>
      </c>
      <c r="B20" s="20" t="n">
        <v>1800</v>
      </c>
      <c r="C20" s="20" t="n">
        <v>1100</v>
      </c>
      <c r="D20" s="20" t="n">
        <v>540</v>
      </c>
      <c r="E20" s="20" t="n">
        <v>0</v>
      </c>
      <c r="F20" s="20" t="n">
        <v>110</v>
      </c>
      <c r="G20" s="20" t="n">
        <v>3550</v>
      </c>
      <c r="H20" s="20" t="n">
        <v>3017.5</v>
      </c>
    </row>
    <row r="21">
      <c r="A21" s="45" t="inlineStr">
        <is>
          <t>Q4 Y1</t>
        </is>
      </c>
      <c r="B21" s="22" t="n">
        <v>3200</v>
      </c>
      <c r="C21" s="22" t="n">
        <v>1760</v>
      </c>
      <c r="D21" s="22" t="n">
        <v>880</v>
      </c>
      <c r="E21" s="22" t="n">
        <v>0</v>
      </c>
      <c r="F21" s="22" t="n">
        <v>160</v>
      </c>
      <c r="G21" s="22" t="n">
        <v>6000</v>
      </c>
      <c r="H21" s="22" t="n">
        <v>5100</v>
      </c>
    </row>
    <row r="22">
      <c r="A22" s="44" t="inlineStr">
        <is>
          <t>Q1 Y2</t>
        </is>
      </c>
      <c r="B22" s="20" t="n">
        <v>5000</v>
      </c>
      <c r="C22" s="20" t="n">
        <v>2500</v>
      </c>
      <c r="D22" s="20" t="n">
        <v>1350</v>
      </c>
      <c r="E22" s="20" t="n">
        <v>350</v>
      </c>
      <c r="F22" s="20" t="n">
        <v>200</v>
      </c>
      <c r="G22" s="20" t="n">
        <v>9400</v>
      </c>
      <c r="H22" s="20" t="n">
        <v>7990</v>
      </c>
    </row>
    <row r="23">
      <c r="A23" s="45" t="inlineStr">
        <is>
          <t>Q2 Y2</t>
        </is>
      </c>
      <c r="B23" s="22" t="n">
        <v>7500</v>
      </c>
      <c r="C23" s="22" t="n">
        <v>3300</v>
      </c>
      <c r="D23" s="22" t="n">
        <v>1800</v>
      </c>
      <c r="E23" s="22" t="n">
        <v>600</v>
      </c>
      <c r="F23" s="22" t="n">
        <v>225</v>
      </c>
      <c r="G23" s="22" t="n">
        <v>13425</v>
      </c>
      <c r="H23" s="22" t="n">
        <v>11411.25</v>
      </c>
    </row>
    <row r="24">
      <c r="A24" s="44" t="inlineStr">
        <is>
          <t>Q3 Y2</t>
        </is>
      </c>
      <c r="B24" s="20" t="n">
        <v>10500</v>
      </c>
      <c r="C24" s="20" t="n">
        <v>4200</v>
      </c>
      <c r="D24" s="20" t="n">
        <v>2400</v>
      </c>
      <c r="E24" s="20" t="n">
        <v>900</v>
      </c>
      <c r="F24" s="20" t="n">
        <v>315</v>
      </c>
      <c r="G24" s="20" t="n">
        <v>18315</v>
      </c>
      <c r="H24" s="20" t="n">
        <v>15567.75</v>
      </c>
    </row>
    <row r="25">
      <c r="A25" s="45" t="inlineStr">
        <is>
          <t>Q4 Y2</t>
        </is>
      </c>
      <c r="B25" s="22" t="n">
        <v>14000</v>
      </c>
      <c r="C25" s="22" t="n">
        <v>5040</v>
      </c>
      <c r="D25" s="22" t="n">
        <v>3080</v>
      </c>
      <c r="E25" s="22" t="n">
        <v>1260</v>
      </c>
      <c r="F25" s="22" t="n">
        <v>420</v>
      </c>
      <c r="G25" s="22" t="n">
        <v>23800</v>
      </c>
      <c r="H25" s="22" t="n">
        <v>20230</v>
      </c>
    </row>
    <row r="26">
      <c r="A26" s="44" t="inlineStr">
        <is>
          <t>Q1 Y3</t>
        </is>
      </c>
      <c r="B26" s="20" t="n">
        <v>17500</v>
      </c>
      <c r="C26" s="20" t="n">
        <v>5600</v>
      </c>
      <c r="D26" s="20" t="n">
        <v>3850</v>
      </c>
      <c r="E26" s="20" t="n">
        <v>1750</v>
      </c>
      <c r="F26" s="20" t="n">
        <v>525</v>
      </c>
      <c r="G26" s="20" t="n">
        <v>29225</v>
      </c>
      <c r="H26" s="20" t="n">
        <v>24841.25</v>
      </c>
    </row>
    <row r="27">
      <c r="A27" s="45" t="inlineStr">
        <is>
          <t>Q2 Y3</t>
        </is>
      </c>
      <c r="B27" s="22" t="n">
        <v>21000</v>
      </c>
      <c r="C27" s="22" t="n">
        <v>6300</v>
      </c>
      <c r="D27" s="22" t="n">
        <v>4410</v>
      </c>
      <c r="E27" s="22" t="n">
        <v>2100</v>
      </c>
      <c r="F27" s="22" t="n">
        <v>630</v>
      </c>
      <c r="G27" s="22" t="n">
        <v>34440</v>
      </c>
      <c r="H27" s="22" t="n">
        <v>29274</v>
      </c>
    </row>
    <row r="28">
      <c r="A28" s="44" t="inlineStr">
        <is>
          <t>Q3 Y3</t>
        </is>
      </c>
      <c r="B28" s="20" t="n">
        <v>24500</v>
      </c>
      <c r="C28" s="20" t="n">
        <v>6860</v>
      </c>
      <c r="D28" s="20" t="n">
        <v>4900</v>
      </c>
      <c r="E28" s="20" t="n">
        <v>2450</v>
      </c>
      <c r="F28" s="20" t="n">
        <v>735</v>
      </c>
      <c r="G28" s="20" t="n">
        <v>39445</v>
      </c>
      <c r="H28" s="20" t="n">
        <v>33528.25</v>
      </c>
    </row>
    <row r="29">
      <c r="A29" s="45" t="inlineStr">
        <is>
          <t>Q4 Y3</t>
        </is>
      </c>
      <c r="B29" s="22" t="n">
        <v>28000</v>
      </c>
      <c r="C29" s="22" t="n">
        <v>7280</v>
      </c>
      <c r="D29" s="22" t="n">
        <v>5320</v>
      </c>
      <c r="E29" s="22" t="n">
        <v>2800</v>
      </c>
      <c r="F29" s="22" t="n">
        <v>840</v>
      </c>
      <c r="G29" s="22" t="n">
        <v>44240</v>
      </c>
      <c r="H29" s="22" t="n">
        <v>37604</v>
      </c>
    </row>
    <row r="30">
      <c r="A30" s="44" t="inlineStr">
        <is>
          <t>Q1 Y4</t>
        </is>
      </c>
      <c r="B30" s="20" t="n">
        <v>31000</v>
      </c>
      <c r="C30" s="20" t="n">
        <v>7750</v>
      </c>
      <c r="D30" s="20" t="n">
        <v>5580</v>
      </c>
      <c r="E30" s="20" t="n">
        <v>3100</v>
      </c>
      <c r="F30" s="20" t="n">
        <v>930</v>
      </c>
      <c r="G30" s="20" t="n">
        <v>48360</v>
      </c>
      <c r="H30" s="20" t="n">
        <v>41106</v>
      </c>
    </row>
    <row r="31">
      <c r="A31" s="45" t="inlineStr">
        <is>
          <t>Q2 Y4</t>
        </is>
      </c>
      <c r="B31" s="22" t="n">
        <v>33500</v>
      </c>
      <c r="C31" s="22" t="n">
        <v>8040</v>
      </c>
      <c r="D31" s="22" t="n">
        <v>5695</v>
      </c>
      <c r="E31" s="22" t="n">
        <v>3350</v>
      </c>
      <c r="F31" s="22" t="n">
        <v>1005</v>
      </c>
      <c r="G31" s="22" t="n">
        <v>51590</v>
      </c>
      <c r="H31" s="22" t="n">
        <v>43851.5</v>
      </c>
    </row>
    <row r="32">
      <c r="A32" s="44" t="inlineStr">
        <is>
          <t>Q3 Y4</t>
        </is>
      </c>
      <c r="B32" s="20" t="n">
        <v>35500</v>
      </c>
      <c r="C32" s="20" t="n">
        <v>8165</v>
      </c>
      <c r="D32" s="20" t="n">
        <v>5680</v>
      </c>
      <c r="E32" s="20" t="n">
        <v>3550</v>
      </c>
      <c r="F32" s="20" t="n">
        <v>1065</v>
      </c>
      <c r="G32" s="20" t="n">
        <v>53960</v>
      </c>
      <c r="H32" s="20" t="n">
        <v>45866</v>
      </c>
    </row>
    <row r="33">
      <c r="A33" s="45" t="inlineStr">
        <is>
          <t>Q4 Y4</t>
        </is>
      </c>
      <c r="B33" s="22" t="n">
        <v>37000</v>
      </c>
      <c r="C33" s="22" t="n">
        <v>8140</v>
      </c>
      <c r="D33" s="22" t="n">
        <v>5550</v>
      </c>
      <c r="E33" s="22" t="n">
        <v>3700</v>
      </c>
      <c r="F33" s="22" t="n">
        <v>1110</v>
      </c>
      <c r="G33" s="22" t="n">
        <v>55500</v>
      </c>
      <c r="H33" s="22" t="n">
        <v>47175</v>
      </c>
    </row>
    <row r="34">
      <c r="A34" s="44" t="inlineStr">
        <is>
          <t>Q1 Y5</t>
        </is>
      </c>
      <c r="B34" s="20" t="n">
        <v>38000</v>
      </c>
      <c r="C34" s="20" t="n">
        <v>7980</v>
      </c>
      <c r="D34" s="20" t="n">
        <v>5320</v>
      </c>
      <c r="E34" s="20" t="n">
        <v>3800</v>
      </c>
      <c r="F34" s="20" t="n">
        <v>1140</v>
      </c>
      <c r="G34" s="20" t="n">
        <v>56240</v>
      </c>
      <c r="H34" s="20" t="n">
        <v>47804</v>
      </c>
    </row>
    <row r="35">
      <c r="A35" s="45" t="inlineStr">
        <is>
          <t>Q2 Y5</t>
        </is>
      </c>
      <c r="B35" s="22" t="n">
        <v>38500</v>
      </c>
      <c r="C35" s="22" t="n">
        <v>7700</v>
      </c>
      <c r="D35" s="22" t="n">
        <v>5005</v>
      </c>
      <c r="E35" s="22" t="n">
        <v>3850</v>
      </c>
      <c r="F35" s="22" t="n">
        <v>1155</v>
      </c>
      <c r="G35" s="22" t="n">
        <v>56210</v>
      </c>
      <c r="H35" s="22" t="n">
        <v>47778.5</v>
      </c>
    </row>
    <row r="36">
      <c r="A36" s="44" t="inlineStr">
        <is>
          <t>Q3 Y5</t>
        </is>
      </c>
      <c r="B36" s="20" t="n">
        <v>38500</v>
      </c>
      <c r="C36" s="20" t="n">
        <v>7315</v>
      </c>
      <c r="D36" s="20" t="n">
        <v>4620</v>
      </c>
      <c r="E36" s="20" t="n">
        <v>3850</v>
      </c>
      <c r="F36" s="20" t="n">
        <v>1155</v>
      </c>
      <c r="G36" s="20" t="n">
        <v>55440</v>
      </c>
      <c r="H36" s="20" t="n">
        <v>47124</v>
      </c>
    </row>
    <row r="37">
      <c r="A37" s="45" t="inlineStr">
        <is>
          <t>Q4 Y5</t>
        </is>
      </c>
      <c r="B37" s="22" t="n">
        <v>38000</v>
      </c>
      <c r="C37" s="22" t="n">
        <v>6840</v>
      </c>
      <c r="D37" s="22" t="n">
        <v>4180</v>
      </c>
      <c r="E37" s="22" t="n">
        <v>3800</v>
      </c>
      <c r="F37" s="22" t="n">
        <v>1140</v>
      </c>
      <c r="G37" s="22" t="n">
        <v>53960</v>
      </c>
      <c r="H37" s="22" t="n">
        <v>45866</v>
      </c>
    </row>
    <row r="38">
      <c r="A38" s="37" t="inlineStr">
        <is>
          <t>5-YEAR TOTAL</t>
        </is>
      </c>
      <c r="B38" s="46">
        <f>SUM(B18:B37)</f>
        <v/>
      </c>
      <c r="C38" s="46">
        <f>SUM(C18:C37)</f>
        <v/>
      </c>
      <c r="D38" s="46">
        <f>SUM(D18:D37)</f>
        <v/>
      </c>
      <c r="E38" s="46">
        <f>SUM(E18:E37)</f>
        <v/>
      </c>
      <c r="F38" s="46">
        <f>SUM(F18:F37)</f>
        <v/>
      </c>
      <c r="G38" s="46">
        <f>SUM(G18:G37)</f>
        <v/>
      </c>
      <c r="H38" s="46">
        <f>SUM(H18:H37)</f>
        <v/>
      </c>
    </row>
  </sheetData>
  <mergeCells count="3">
    <mergeCell ref="A3:H3"/>
    <mergeCell ref="A16:H1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KPIs &amp; UNIT ECONOMICS</t>
        </is>
      </c>
    </row>
    <row r="3">
      <c r="A3" s="3" t="inlineStr">
        <is>
          <t>KEY BUSINESS METRICS</t>
        </is>
      </c>
      <c r="B3" s="3" t="n"/>
      <c r="C3" s="3" t="n"/>
      <c r="D3" s="3" t="n"/>
      <c r="E3" s="3" t="n"/>
      <c r="F3" s="3" t="n"/>
    </row>
    <row r="4">
      <c r="A4" s="10" t="inlineStr">
        <is>
          <t>Metric</t>
        </is>
      </c>
      <c r="B4" s="10" t="inlineStr">
        <is>
          <t>Formula</t>
        </is>
      </c>
      <c r="C4" s="10" t="inlineStr">
        <is>
          <t>Year 1</t>
        </is>
      </c>
      <c r="D4" s="10" t="inlineStr">
        <is>
          <t>Year 2</t>
        </is>
      </c>
      <c r="E4" s="10" t="inlineStr">
        <is>
          <t>Year 3</t>
        </is>
      </c>
      <c r="F4" s="10" t="inlineStr">
        <is>
          <t>Benchmark</t>
        </is>
      </c>
    </row>
    <row r="5">
      <c r="A5" s="23" t="inlineStr">
        <is>
          <t>Customer Acquisition Cost (CAC)</t>
        </is>
      </c>
      <c r="B5" s="40" t="inlineStr">
        <is>
          <t>Marketing Spend / New Users</t>
        </is>
      </c>
      <c r="C5" s="17" t="inlineStr">
        <is>
          <t>$2.00</t>
        </is>
      </c>
      <c r="D5" s="17" t="inlineStr">
        <is>
          <t>$1.80</t>
        </is>
      </c>
      <c r="E5" s="17" t="inlineStr">
        <is>
          <t>$1.50</t>
        </is>
      </c>
      <c r="F5" s="47" t="inlineStr">
        <is>
          <t>$1.50-3.00</t>
        </is>
      </c>
    </row>
    <row r="6">
      <c r="A6" s="25" t="inlineStr">
        <is>
          <t>Lifetime Value (LTV) — Paying</t>
        </is>
      </c>
      <c r="B6" s="41" t="inlineStr">
        <is>
          <t>ARPPU / Churn Rate</t>
        </is>
      </c>
      <c r="C6" s="18" t="inlineStr">
        <is>
          <t>$63.75</t>
        </is>
      </c>
      <c r="D6" s="18" t="inlineStr">
        <is>
          <t>$66.94</t>
        </is>
      </c>
      <c r="E6" s="18" t="inlineStr">
        <is>
          <t>$70.28</t>
        </is>
      </c>
      <c r="F6" s="48" t="inlineStr">
        <is>
          <t>$30-80</t>
        </is>
      </c>
    </row>
    <row r="7">
      <c r="A7" s="23" t="inlineStr">
        <is>
          <t>LTV:CAC Ratio</t>
        </is>
      </c>
      <c r="B7" s="40" t="inlineStr">
        <is>
          <t>LTV / CAC</t>
        </is>
      </c>
      <c r="C7" s="17" t="inlineStr">
        <is>
          <t>31.9x</t>
        </is>
      </c>
      <c r="D7" s="17" t="inlineStr">
        <is>
          <t>37.2x</t>
        </is>
      </c>
      <c r="E7" s="17" t="inlineStr">
        <is>
          <t>46.9x</t>
        </is>
      </c>
      <c r="F7" s="47" t="inlineStr">
        <is>
          <t>&gt; 3:1 healthy</t>
        </is>
      </c>
    </row>
    <row r="8">
      <c r="A8" s="25" t="inlineStr">
        <is>
          <t>Monthly ARPU (All Users)</t>
        </is>
      </c>
      <c r="B8" s="41" t="inlineStr">
        <is>
          <t>Revenue / Active Users</t>
        </is>
      </c>
      <c r="C8" s="18" t="inlineStr">
        <is>
          <t>$0.28</t>
        </is>
      </c>
      <c r="D8" s="18" t="inlineStr">
        <is>
          <t>$0.45</t>
        </is>
      </c>
      <c r="E8" s="18" t="inlineStr">
        <is>
          <t>$0.62</t>
        </is>
      </c>
      <c r="F8" s="48" t="inlineStr">
        <is>
          <t>$0.20-1.00</t>
        </is>
      </c>
    </row>
    <row r="9">
      <c r="A9" s="23" t="inlineStr">
        <is>
          <t>Monthly ARPPU (Paying)</t>
        </is>
      </c>
      <c r="B9" s="40" t="inlineStr">
        <is>
          <t>Revenue / Paying Users</t>
        </is>
      </c>
      <c r="C9" s="17" t="inlineStr">
        <is>
          <t>$7.50</t>
        </is>
      </c>
      <c r="D9" s="17" t="inlineStr">
        <is>
          <t>$7.88</t>
        </is>
      </c>
      <c r="E9" s="17" t="inlineStr">
        <is>
          <t>$8.27</t>
        </is>
      </c>
      <c r="F9" s="47" t="inlineStr">
        <is>
          <t>$5-15</t>
        </is>
      </c>
    </row>
    <row r="10">
      <c r="A10" s="25" t="inlineStr">
        <is>
          <t>Conversion Rate</t>
        </is>
      </c>
      <c r="B10" s="41" t="inlineStr">
        <is>
          <t>Paying / Total Users</t>
        </is>
      </c>
      <c r="C10" s="18" t="inlineStr">
        <is>
          <t>4.0%</t>
        </is>
      </c>
      <c r="D10" s="18" t="inlineStr">
        <is>
          <t>4.5%</t>
        </is>
      </c>
      <c r="E10" s="18" t="inlineStr">
        <is>
          <t>5.0%</t>
        </is>
      </c>
      <c r="F10" s="48" t="inlineStr">
        <is>
          <t>2-7%</t>
        </is>
      </c>
    </row>
    <row r="11">
      <c r="A11" s="23" t="inlineStr">
        <is>
          <t>Day 1 Retention</t>
        </is>
      </c>
      <c r="B11" s="40" t="inlineStr">
        <is>
          <t>Users returning Day 1</t>
        </is>
      </c>
      <c r="C11" s="17" t="inlineStr">
        <is>
          <t>40%</t>
        </is>
      </c>
      <c r="D11" s="17" t="inlineStr">
        <is>
          <t>45%</t>
        </is>
      </c>
      <c r="E11" s="17" t="inlineStr">
        <is>
          <t>48%</t>
        </is>
      </c>
      <c r="F11" s="47" t="inlineStr">
        <is>
          <t>35-50%</t>
        </is>
      </c>
    </row>
    <row r="12">
      <c r="A12" s="25" t="inlineStr">
        <is>
          <t>Day 7 Retention</t>
        </is>
      </c>
      <c r="B12" s="41" t="inlineStr">
        <is>
          <t>Users returning Day 7</t>
        </is>
      </c>
      <c r="C12" s="18" t="inlineStr">
        <is>
          <t>18%</t>
        </is>
      </c>
      <c r="D12" s="18" t="inlineStr">
        <is>
          <t>22%</t>
        </is>
      </c>
      <c r="E12" s="18" t="inlineStr">
        <is>
          <t>25%</t>
        </is>
      </c>
      <c r="F12" s="48" t="inlineStr">
        <is>
          <t>15-25%</t>
        </is>
      </c>
    </row>
    <row r="13">
      <c r="A13" s="23" t="inlineStr">
        <is>
          <t>Day 30 Retention</t>
        </is>
      </c>
      <c r="B13" s="40" t="inlineStr">
        <is>
          <t>Users returning Day 30</t>
        </is>
      </c>
      <c r="C13" s="17" t="inlineStr">
        <is>
          <t>8%</t>
        </is>
      </c>
      <c r="D13" s="17" t="inlineStr">
        <is>
          <t>10%</t>
        </is>
      </c>
      <c r="E13" s="17" t="inlineStr">
        <is>
          <t>12%</t>
        </is>
      </c>
      <c r="F13" s="47" t="inlineStr">
        <is>
          <t>5-12%</t>
        </is>
      </c>
    </row>
    <row r="14">
      <c r="A14" s="25" t="inlineStr">
        <is>
          <t>Paying User Churn</t>
        </is>
      </c>
      <c r="B14" s="41" t="inlineStr">
        <is>
          <t>Lost paying users / total paying</t>
        </is>
      </c>
      <c r="C14" s="18" t="inlineStr">
        <is>
          <t>10%</t>
        </is>
      </c>
      <c r="D14" s="18" t="inlineStr">
        <is>
          <t>9%</t>
        </is>
      </c>
      <c r="E14" s="18" t="inlineStr">
        <is>
          <t>8%</t>
        </is>
      </c>
      <c r="F14" s="48" t="inlineStr">
        <is>
          <t>5-12%</t>
        </is>
      </c>
    </row>
    <row r="15">
      <c r="A15" s="23" t="inlineStr">
        <is>
          <t>Revenue Per Session</t>
        </is>
      </c>
      <c r="B15" s="40" t="inlineStr">
        <is>
          <t>Revenue / Total Sessions</t>
        </is>
      </c>
      <c r="C15" s="17" t="inlineStr">
        <is>
          <t>$0.03</t>
        </is>
      </c>
      <c r="D15" s="17" t="inlineStr">
        <is>
          <t>$0.05</t>
        </is>
      </c>
      <c r="E15" s="17" t="inlineStr">
        <is>
          <t>$0.07</t>
        </is>
      </c>
      <c r="F15" s="47" t="inlineStr">
        <is>
          <t>$0.02-0.10</t>
        </is>
      </c>
    </row>
    <row r="16">
      <c r="A16" s="25" t="inlineStr">
        <is>
          <t>Sessions Per User Per Day</t>
        </is>
      </c>
      <c r="B16" s="41" t="inlineStr">
        <is>
          <t>Total Sessions / DAU</t>
        </is>
      </c>
      <c r="C16" s="18" t="inlineStr">
        <is>
          <t>2.5</t>
        </is>
      </c>
      <c r="D16" s="18" t="inlineStr">
        <is>
          <t>2.8</t>
        </is>
      </c>
      <c r="E16" s="18" t="inlineStr">
        <is>
          <t>3.0</t>
        </is>
      </c>
      <c r="F16" s="48" t="inlineStr">
        <is>
          <t>2-4</t>
        </is>
      </c>
    </row>
    <row r="17">
      <c r="A17" s="23" t="inlineStr">
        <is>
          <t>Gross Margin</t>
        </is>
      </c>
      <c r="B17" s="40" t="inlineStr">
        <is>
          <t>(Rev - COGS) / Revenue</t>
        </is>
      </c>
      <c r="C17" s="17" t="inlineStr">
        <is>
          <t>72%</t>
        </is>
      </c>
      <c r="D17" s="17" t="inlineStr">
        <is>
          <t>75%</t>
        </is>
      </c>
      <c r="E17" s="17" t="inlineStr">
        <is>
          <t>78%</t>
        </is>
      </c>
      <c r="F17" s="47" t="inlineStr">
        <is>
          <t>70-85%</t>
        </is>
      </c>
    </row>
    <row r="18">
      <c r="A18" s="25" t="inlineStr">
        <is>
          <t>Payback Period (months)</t>
        </is>
      </c>
      <c r="B18" s="41" t="inlineStr">
        <is>
          <t>CAC / Monthly ARPU</t>
        </is>
      </c>
      <c r="C18" s="18" t="inlineStr">
        <is>
          <t>7.1</t>
        </is>
      </c>
      <c r="D18" s="18" t="inlineStr">
        <is>
          <t>4.0</t>
        </is>
      </c>
      <c r="E18" s="18" t="inlineStr">
        <is>
          <t>2.4</t>
        </is>
      </c>
      <c r="F18" s="48" t="inlineStr">
        <is>
          <t>&lt; 12</t>
        </is>
      </c>
    </row>
    <row r="19">
      <c r="A19" s="23" t="inlineStr">
        <is>
          <t>Break-even Month</t>
        </is>
      </c>
      <c r="B19" s="40" t="inlineStr">
        <is>
          <t>Cumulative P/L turns positive</t>
        </is>
      </c>
      <c r="C19" s="17" t="inlineStr">
        <is>
          <t>Month 8-10</t>
        </is>
      </c>
      <c r="D19" s="17" t="inlineStr">
        <is>
          <t>—</t>
        </is>
      </c>
      <c r="E19" s="17" t="inlineStr">
        <is>
          <t>—</t>
        </is>
      </c>
      <c r="F19" s="47" t="inlineStr">
        <is>
          <t>6-18 months</t>
        </is>
      </c>
    </row>
    <row r="22">
      <c r="A22" s="3" t="inlineStr">
        <is>
          <t>SENSITIVITY ANALYSIS — MONTHLY NET REVENUE AT MONTH 12</t>
        </is>
      </c>
      <c r="B22" s="3" t="n"/>
      <c r="C22" s="3" t="n"/>
      <c r="D22" s="3" t="n"/>
      <c r="E22" s="3" t="n"/>
      <c r="F22" s="3" t="n"/>
    </row>
    <row r="23">
      <c r="A23" s="49" t="inlineStr">
        <is>
          <t>Conversion \ ARPPU</t>
        </is>
      </c>
      <c r="B23" s="49" t="inlineStr">
        <is>
          <t>$5.00</t>
        </is>
      </c>
      <c r="C23" s="49" t="inlineStr">
        <is>
          <t>$7.50</t>
        </is>
      </c>
      <c r="D23" s="49" t="inlineStr">
        <is>
          <t>$10.00</t>
        </is>
      </c>
      <c r="E23" s="49" t="inlineStr">
        <is>
          <t>$12.50</t>
        </is>
      </c>
      <c r="F23" s="49" t="inlineStr">
        <is>
          <t>$15.00</t>
        </is>
      </c>
    </row>
    <row r="24">
      <c r="A24" s="7" t="inlineStr">
        <is>
          <t>2% conversion</t>
        </is>
      </c>
      <c r="B24" s="50" t="n">
        <v>340</v>
      </c>
      <c r="C24" s="50" t="n">
        <v>510</v>
      </c>
      <c r="D24" s="50" t="n">
        <v>680</v>
      </c>
      <c r="E24" s="50" t="n">
        <v>850</v>
      </c>
      <c r="F24" s="51" t="n">
        <v>1020</v>
      </c>
    </row>
    <row r="25">
      <c r="A25" s="7" t="inlineStr">
        <is>
          <t>3% conversion</t>
        </is>
      </c>
      <c r="B25" s="50" t="n">
        <v>510</v>
      </c>
      <c r="C25" s="50" t="n">
        <v>765</v>
      </c>
      <c r="D25" s="51" t="n">
        <v>1020</v>
      </c>
      <c r="E25" s="51" t="n">
        <v>1275</v>
      </c>
      <c r="F25" s="51" t="n">
        <v>1530</v>
      </c>
    </row>
    <row r="26">
      <c r="A26" s="7" t="inlineStr">
        <is>
          <t>4% conversion</t>
        </is>
      </c>
      <c r="B26" s="50" t="n">
        <v>680</v>
      </c>
      <c r="C26" s="51" t="n">
        <v>1020</v>
      </c>
      <c r="D26" s="51" t="n">
        <v>1360</v>
      </c>
      <c r="E26" s="51" t="n">
        <v>1700</v>
      </c>
      <c r="F26" s="52" t="n">
        <v>2040</v>
      </c>
    </row>
    <row r="27">
      <c r="A27" s="7" t="inlineStr">
        <is>
          <t>5% conversion</t>
        </is>
      </c>
      <c r="B27" s="50" t="n">
        <v>850</v>
      </c>
      <c r="C27" s="51" t="n">
        <v>1275</v>
      </c>
      <c r="D27" s="51" t="n">
        <v>1700</v>
      </c>
      <c r="E27" s="52" t="n">
        <v>2125</v>
      </c>
      <c r="F27" s="52" t="n">
        <v>2550</v>
      </c>
    </row>
    <row r="28">
      <c r="A28" s="7" t="inlineStr">
        <is>
          <t>7% conversion</t>
        </is>
      </c>
      <c r="B28" s="51" t="n">
        <v>1190</v>
      </c>
      <c r="C28" s="51" t="n">
        <v>1785</v>
      </c>
      <c r="D28" s="52" t="n">
        <v>2380</v>
      </c>
      <c r="E28" s="52" t="n">
        <v>2975</v>
      </c>
      <c r="F28" s="52" t="n">
        <v>3570</v>
      </c>
    </row>
  </sheetData>
  <mergeCells count="3">
    <mergeCell ref="A3:F3"/>
    <mergeCell ref="A22:F2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SCENARIO PLANNER — CONSERVATIVE / BASE / OPTIMISTIC</t>
        </is>
      </c>
    </row>
    <row r="3">
      <c r="A3" s="10" t="inlineStr">
        <is>
          <t>Metric</t>
        </is>
      </c>
      <c r="B3" s="10" t="inlineStr">
        <is>
          <t>Conservative</t>
        </is>
      </c>
      <c r="C3" s="10" t="inlineStr">
        <is>
          <t>Base Case</t>
        </is>
      </c>
      <c r="D3" s="10" t="inlineStr">
        <is>
          <t>Optimistic</t>
        </is>
      </c>
      <c r="E3" s="10" t="inlineStr">
        <is>
          <t>Notes</t>
        </is>
      </c>
    </row>
    <row r="4">
      <c r="A4" s="23" t="inlineStr">
        <is>
          <t>Launch Installs</t>
        </is>
      </c>
      <c r="B4" s="53" t="inlineStr">
        <is>
          <t>1,000</t>
        </is>
      </c>
      <c r="C4" s="17" t="inlineStr">
        <is>
          <t>2,000</t>
        </is>
      </c>
      <c r="D4" s="54" t="inlineStr">
        <is>
          <t>5,000</t>
        </is>
      </c>
      <c r="E4" s="55" t="inlineStr">
        <is>
          <t>Depends on launch marketing</t>
        </is>
      </c>
    </row>
    <row r="5">
      <c r="A5" s="25" t="inlineStr">
        <is>
          <t>Monthly Growth Rate</t>
        </is>
      </c>
      <c r="B5" s="56" t="inlineStr">
        <is>
          <t>8%</t>
        </is>
      </c>
      <c r="C5" s="18" t="inlineStr">
        <is>
          <t>12%</t>
        </is>
      </c>
      <c r="D5" s="57" t="inlineStr">
        <is>
          <t>20%</t>
        </is>
      </c>
      <c r="E5" s="58" t="inlineStr">
        <is>
          <t>Organic + paid growth</t>
        </is>
      </c>
    </row>
    <row r="6">
      <c r="A6" s="23" t="inlineStr">
        <is>
          <t>Conversion Rate</t>
        </is>
      </c>
      <c r="B6" s="53" t="inlineStr">
        <is>
          <t>2%</t>
        </is>
      </c>
      <c r="C6" s="17" t="inlineStr">
        <is>
          <t>4%</t>
        </is>
      </c>
      <c r="D6" s="54" t="inlineStr">
        <is>
          <t>7%</t>
        </is>
      </c>
      <c r="E6" s="55" t="inlineStr">
        <is>
          <t>Industry range for casual games</t>
        </is>
      </c>
    </row>
    <row r="7">
      <c r="A7" s="25" t="inlineStr">
        <is>
          <t>ARPPU</t>
        </is>
      </c>
      <c r="B7" s="56" t="inlineStr">
        <is>
          <t>$5.00</t>
        </is>
      </c>
      <c r="C7" s="18" t="inlineStr">
        <is>
          <t>$7.50</t>
        </is>
      </c>
      <c r="D7" s="57" t="inlineStr">
        <is>
          <t>$12.00</t>
        </is>
      </c>
      <c r="E7" s="58" t="inlineStr">
        <is>
          <t>Based on pricing matrix</t>
        </is>
      </c>
    </row>
    <row r="8">
      <c r="A8" s="23" t="inlineStr">
        <is>
          <t>Paying Churn</t>
        </is>
      </c>
      <c r="B8" s="53" t="inlineStr">
        <is>
          <t>15%</t>
        </is>
      </c>
      <c r="C8" s="17" t="inlineStr">
        <is>
          <t>10%</t>
        </is>
      </c>
      <c r="D8" s="54" t="inlineStr">
        <is>
          <t>6%</t>
        </is>
      </c>
      <c r="E8" s="55" t="inlineStr">
        <is>
          <t>Lower = better retention</t>
        </is>
      </c>
    </row>
    <row r="9">
      <c r="A9" s="25" t="inlineStr">
        <is>
          <t>Free Churn</t>
        </is>
      </c>
      <c r="B9" s="56" t="inlineStr">
        <is>
          <t>20%</t>
        </is>
      </c>
      <c r="C9" s="18" t="inlineStr">
        <is>
          <t>15%</t>
        </is>
      </c>
      <c r="D9" s="57" t="inlineStr">
        <is>
          <t>10%</t>
        </is>
      </c>
      <c r="E9" s="58" t="inlineStr">
        <is>
          <t>Content keeps users engaged</t>
        </is>
      </c>
    </row>
    <row r="10">
      <c r="A10" s="23" t="inlineStr">
        <is>
          <t>App Store Fee</t>
        </is>
      </c>
      <c r="B10" s="53" t="inlineStr">
        <is>
          <t>30%</t>
        </is>
      </c>
      <c r="C10" s="17" t="inlineStr">
        <is>
          <t>15%</t>
        </is>
      </c>
      <c r="D10" s="54" t="inlineStr">
        <is>
          <t>15%</t>
        </is>
      </c>
      <c r="E10" s="55" t="inlineStr">
        <is>
          <t>Small Business Program</t>
        </is>
      </c>
    </row>
    <row r="11">
      <c r="A11" s="25" t="inlineStr">
        <is>
          <t>Month 6 Active Users</t>
        </is>
      </c>
      <c r="B11" s="56" t="inlineStr">
        <is>
          <t>1,200</t>
        </is>
      </c>
      <c r="C11" s="18" t="inlineStr">
        <is>
          <t>3,500</t>
        </is>
      </c>
      <c r="D11" s="57" t="inlineStr">
        <is>
          <t>10,000</t>
        </is>
      </c>
      <c r="E11" s="58" t="inlineStr">
        <is>
          <t>Growth dependent</t>
        </is>
      </c>
    </row>
    <row r="12">
      <c r="A12" s="23" t="inlineStr">
        <is>
          <t>Month 12 Active Users</t>
        </is>
      </c>
      <c r="B12" s="53" t="inlineStr">
        <is>
          <t>2,500</t>
        </is>
      </c>
      <c r="C12" s="17" t="inlineStr">
        <is>
          <t>6,000</t>
        </is>
      </c>
      <c r="D12" s="54" t="inlineStr">
        <is>
          <t>25,000</t>
        </is>
      </c>
      <c r="E12" s="55" t="inlineStr">
        <is>
          <t>Viral potential</t>
        </is>
      </c>
    </row>
    <row r="13">
      <c r="A13" s="25" t="inlineStr">
        <is>
          <t>Month 12 Monthly Revenue</t>
        </is>
      </c>
      <c r="B13" s="56" t="inlineStr">
        <is>
          <t>$250</t>
        </is>
      </c>
      <c r="C13" s="18" t="inlineStr">
        <is>
          <t>$2,550</t>
        </is>
      </c>
      <c r="D13" s="57" t="inlineStr">
        <is>
          <t>$15,750</t>
        </is>
      </c>
      <c r="E13" s="58" t="inlineStr">
        <is>
          <t>Net after fees</t>
        </is>
      </c>
    </row>
    <row r="14">
      <c r="A14" s="23" t="inlineStr">
        <is>
          <t>Month 24 Monthly Revenue</t>
        </is>
      </c>
      <c r="B14" s="53" t="inlineStr">
        <is>
          <t>$600</t>
        </is>
      </c>
      <c r="C14" s="17" t="inlineStr">
        <is>
          <t>$8,000</t>
        </is>
      </c>
      <c r="D14" s="54" t="inlineStr">
        <is>
          <t>$45,000</t>
        </is>
      </c>
      <c r="E14" s="55" t="inlineStr">
        <is>
          <t>At scale</t>
        </is>
      </c>
    </row>
    <row r="15">
      <c r="A15" s="25" t="inlineStr">
        <is>
          <t>Year 1 Total Revenue</t>
        </is>
      </c>
      <c r="B15" s="56" t="inlineStr">
        <is>
          <t>$1,500</t>
        </is>
      </c>
      <c r="C15" s="18" t="inlineStr">
        <is>
          <t>$12,000</t>
        </is>
      </c>
      <c r="D15" s="57" t="inlineStr">
        <is>
          <t>$55,000</t>
        </is>
      </c>
      <c r="E15" s="58" t="inlineStr">
        <is>
          <t>Cumulative net</t>
        </is>
      </c>
    </row>
    <row r="16">
      <c r="A16" s="23" t="inlineStr">
        <is>
          <t>Year 2 Total Revenue</t>
        </is>
      </c>
      <c r="B16" s="53" t="inlineStr">
        <is>
          <t>$5,000</t>
        </is>
      </c>
      <c r="C16" s="17" t="inlineStr">
        <is>
          <t>$65,000</t>
        </is>
      </c>
      <c r="D16" s="54" t="inlineStr">
        <is>
          <t>$350,000</t>
        </is>
      </c>
      <c r="E16" s="55" t="inlineStr">
        <is>
          <t>Growth phase</t>
        </is>
      </c>
    </row>
    <row r="17">
      <c r="A17" s="25" t="inlineStr">
        <is>
          <t>Year 3 Total Revenue</t>
        </is>
      </c>
      <c r="B17" s="56" t="inlineStr">
        <is>
          <t>$10,000</t>
        </is>
      </c>
      <c r="C17" s="18" t="inlineStr">
        <is>
          <t>$130,000</t>
        </is>
      </c>
      <c r="D17" s="57" t="inlineStr">
        <is>
          <t>$600,000</t>
        </is>
      </c>
      <c r="E17" s="58" t="inlineStr">
        <is>
          <t>Maturity phase</t>
        </is>
      </c>
    </row>
    <row r="18">
      <c r="A18" s="23" t="inlineStr">
        <is>
          <t>5-Year Total Revenue</t>
        </is>
      </c>
      <c r="B18" s="53" t="inlineStr">
        <is>
          <t>$30,000</t>
        </is>
      </c>
      <c r="C18" s="17" t="inlineStr">
        <is>
          <t>$450,000</t>
        </is>
      </c>
      <c r="D18" s="54" t="inlineStr">
        <is>
          <t>$2,000,000</t>
        </is>
      </c>
      <c r="E18" s="55" t="inlineStr">
        <is>
          <t>Full projection</t>
        </is>
      </c>
    </row>
    <row r="19">
      <c r="A19" s="25" t="inlineStr">
        <is>
          <t>Break-even Month</t>
        </is>
      </c>
      <c r="B19" s="56" t="inlineStr">
        <is>
          <t>Month 18+</t>
        </is>
      </c>
      <c r="C19" s="18" t="inlineStr">
        <is>
          <t>Month 8-10</t>
        </is>
      </c>
      <c r="D19" s="57" t="inlineStr">
        <is>
          <t>Month 3-4</t>
        </is>
      </c>
      <c r="E19" s="58" t="inlineStr">
        <is>
          <t>When cumulative &gt; 0</t>
        </is>
      </c>
    </row>
    <row r="20">
      <c r="A20" s="23" t="inlineStr">
        <is>
          <t>5-Year ROI</t>
        </is>
      </c>
      <c r="B20" s="53" t="inlineStr">
        <is>
          <t>50%</t>
        </is>
      </c>
      <c r="C20" s="17" t="inlineStr">
        <is>
          <t>500%+</t>
        </is>
      </c>
      <c r="D20" s="54" t="inlineStr">
        <is>
          <t>2000%+</t>
        </is>
      </c>
      <c r="E20" s="55" t="inlineStr">
        <is>
          <t>Return on investment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BC9C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5" customWidth="1" min="3" max="3"/>
    <col width="12" customWidth="1" min="4" max="4"/>
    <col width="25" customWidth="1" min="5" max="5"/>
  </cols>
  <sheetData>
    <row r="1">
      <c r="A1" s="9" t="inlineStr">
        <is>
          <t>MILESTONES &amp; MANAGEMENT CHECKLIST</t>
        </is>
      </c>
    </row>
    <row r="3">
      <c r="A3" s="3" t="inlineStr">
        <is>
          <t>REVENUE MILESTONES</t>
        </is>
      </c>
      <c r="B3" s="3" t="n"/>
      <c r="C3" s="3" t="n"/>
      <c r="D3" s="3" t="n"/>
      <c r="E3" s="3" t="n"/>
    </row>
    <row r="4">
      <c r="A4" s="49" t="inlineStr">
        <is>
          <t>Milestone</t>
        </is>
      </c>
      <c r="B4" s="49" t="inlineStr">
        <is>
          <t>Target</t>
        </is>
      </c>
      <c r="C4" s="49" t="inlineStr">
        <is>
          <t>Target Month</t>
        </is>
      </c>
      <c r="D4" s="49" t="inlineStr">
        <is>
          <t>Status</t>
        </is>
      </c>
      <c r="E4" s="49" t="inlineStr">
        <is>
          <t>Notes</t>
        </is>
      </c>
    </row>
    <row r="5">
      <c r="A5" s="23" t="inlineStr">
        <is>
          <t>First Paying User</t>
        </is>
      </c>
      <c r="B5" s="17" t="inlineStr">
        <is>
          <t>1 user</t>
        </is>
      </c>
      <c r="C5" s="17" t="inlineStr">
        <is>
          <t>Month 1</t>
        </is>
      </c>
      <c r="D5" s="17" t="inlineStr"/>
      <c r="E5" s="17" t="inlineStr">
        <is>
          <t>Validate pricing</t>
        </is>
      </c>
    </row>
    <row r="6">
      <c r="A6" s="25" t="inlineStr">
        <is>
          <t>100 Total Users</t>
        </is>
      </c>
      <c r="B6" s="18" t="inlineStr">
        <is>
          <t>100</t>
        </is>
      </c>
      <c r="C6" s="18" t="inlineStr">
        <is>
          <t>Month 2</t>
        </is>
      </c>
      <c r="D6" s="18" t="inlineStr"/>
      <c r="E6" s="18" t="inlineStr">
        <is>
          <t>Early traction</t>
        </is>
      </c>
    </row>
    <row r="7">
      <c r="A7" s="23" t="inlineStr">
        <is>
          <t>$100 Monthly Revenue</t>
        </is>
      </c>
      <c r="B7" s="17" t="inlineStr">
        <is>
          <t>$100/mo</t>
        </is>
      </c>
      <c r="C7" s="17" t="inlineStr">
        <is>
          <t>Month 3-4</t>
        </is>
      </c>
      <c r="D7" s="17" t="inlineStr"/>
      <c r="E7" s="17" t="inlineStr">
        <is>
          <t>Proof of concept</t>
        </is>
      </c>
    </row>
    <row r="8">
      <c r="A8" s="25" t="inlineStr">
        <is>
          <t>1,000 Total Users</t>
        </is>
      </c>
      <c r="B8" s="18" t="inlineStr">
        <is>
          <t>1,000</t>
        </is>
      </c>
      <c r="C8" s="18" t="inlineStr">
        <is>
          <t>Month 4-6</t>
        </is>
      </c>
      <c r="D8" s="18" t="inlineStr"/>
      <c r="E8" s="18" t="inlineStr">
        <is>
          <t>Growth validation</t>
        </is>
      </c>
    </row>
    <row r="9">
      <c r="A9" s="23" t="inlineStr">
        <is>
          <t>$1,000 Monthly Revenue</t>
        </is>
      </c>
      <c r="B9" s="17" t="inlineStr">
        <is>
          <t>$1K/mo</t>
        </is>
      </c>
      <c r="C9" s="17" t="inlineStr">
        <is>
          <t>Month 6-8</t>
        </is>
      </c>
      <c r="D9" s="17" t="inlineStr"/>
      <c r="E9" s="17" t="inlineStr">
        <is>
          <t>Sustainability signal</t>
        </is>
      </c>
    </row>
    <row r="10">
      <c r="A10" s="25" t="inlineStr">
        <is>
          <t>Apple Small Business Program</t>
        </is>
      </c>
      <c r="B10" s="18" t="inlineStr">
        <is>
          <t>&lt; $1M annual</t>
        </is>
      </c>
      <c r="C10" s="18" t="inlineStr">
        <is>
          <t>Month 1</t>
        </is>
      </c>
      <c r="D10" s="18" t="inlineStr"/>
      <c r="E10" s="18" t="inlineStr">
        <is>
          <t>Apply immediately — 15% fee</t>
        </is>
      </c>
    </row>
    <row r="11">
      <c r="A11" s="23" t="inlineStr">
        <is>
          <t>Break-even Month</t>
        </is>
      </c>
      <c r="B11" s="17" t="inlineStr">
        <is>
          <t>Cum P/L &gt; 0</t>
        </is>
      </c>
      <c r="C11" s="17" t="inlineStr">
        <is>
          <t>Month 8-10</t>
        </is>
      </c>
      <c r="D11" s="17" t="inlineStr"/>
      <c r="E11" s="17" t="inlineStr">
        <is>
          <t>Critical milestone</t>
        </is>
      </c>
    </row>
    <row r="12">
      <c r="A12" s="25" t="inlineStr">
        <is>
          <t>$5,000 Monthly Revenue</t>
        </is>
      </c>
      <c r="B12" s="18" t="inlineStr">
        <is>
          <t>$5K/mo</t>
        </is>
      </c>
      <c r="C12" s="18" t="inlineStr">
        <is>
          <t>Month 12-18</t>
        </is>
      </c>
      <c r="D12" s="18" t="inlineStr"/>
      <c r="E12" s="18" t="inlineStr">
        <is>
          <t>Part-time income level</t>
        </is>
      </c>
    </row>
    <row r="13">
      <c r="A13" s="23" t="inlineStr">
        <is>
          <t>10,000 Active Users</t>
        </is>
      </c>
      <c r="B13" s="17" t="inlineStr">
        <is>
          <t>10K MAU</t>
        </is>
      </c>
      <c r="C13" s="17" t="inlineStr">
        <is>
          <t>Month 12-18</t>
        </is>
      </c>
      <c r="D13" s="17" t="inlineStr"/>
      <c r="E13" s="17" t="inlineStr">
        <is>
          <t>Community scale</t>
        </is>
      </c>
    </row>
    <row r="14">
      <c r="A14" s="25" t="inlineStr">
        <is>
          <t>$10,000 Monthly Revenue</t>
        </is>
      </c>
      <c r="B14" s="18" t="inlineStr">
        <is>
          <t>$10K/mo</t>
        </is>
      </c>
      <c r="C14" s="18" t="inlineStr">
        <is>
          <t>Month 18-24</t>
        </is>
      </c>
      <c r="D14" s="18" t="inlineStr"/>
      <c r="E14" s="18" t="inlineStr">
        <is>
          <t>Full-time viable</t>
        </is>
      </c>
    </row>
    <row r="15">
      <c r="A15" s="23" t="inlineStr">
        <is>
          <t>$1M Cumulative Revenue</t>
        </is>
      </c>
      <c r="B15" s="17" t="inlineStr">
        <is>
          <t>$1M total</t>
        </is>
      </c>
      <c r="C15" s="17" t="inlineStr">
        <is>
          <t>Month 36-48</t>
        </is>
      </c>
      <c r="D15" s="17" t="inlineStr"/>
      <c r="E15" s="17" t="inlineStr">
        <is>
          <t>Major milestone</t>
        </is>
      </c>
    </row>
    <row r="18">
      <c r="A18" s="3" t="inlineStr">
        <is>
          <t>MONTHLY MANAGEMENT CHECKLIST</t>
        </is>
      </c>
      <c r="B18" s="3" t="n"/>
      <c r="C18" s="3" t="n"/>
      <c r="D18" s="3" t="n"/>
      <c r="E18" s="3" t="n"/>
    </row>
    <row r="19">
      <c r="A19" s="49" t="inlineStr">
        <is>
          <t>Task</t>
        </is>
      </c>
      <c r="B19" s="49" t="inlineStr">
        <is>
          <t>Frequency</t>
        </is>
      </c>
      <c r="C19" s="49" t="inlineStr">
        <is>
          <t>Details</t>
        </is>
      </c>
      <c r="D19" s="49" t="inlineStr">
        <is>
          <t>Done?</t>
        </is>
      </c>
      <c r="E19" s="49" t="inlineStr">
        <is>
          <t>Notes</t>
        </is>
      </c>
    </row>
    <row r="20">
      <c r="A20" s="40" t="inlineStr">
        <is>
          <t>Review App Store Analytics</t>
        </is>
      </c>
      <c r="B20" s="17" t="inlineStr">
        <is>
          <t>Weekly</t>
        </is>
      </c>
      <c r="C20" s="40" t="inlineStr">
        <is>
          <t>Downloads, ratings, reviews, crash reports</t>
        </is>
      </c>
      <c r="D20" s="17" t="inlineStr"/>
      <c r="E20" s="17" t="inlineStr"/>
    </row>
    <row r="21">
      <c r="A21" s="41" t="inlineStr">
        <is>
          <t>Check Revenue Dashboard</t>
        </is>
      </c>
      <c r="B21" s="18" t="inlineStr">
        <is>
          <t>Daily</t>
        </is>
      </c>
      <c r="C21" s="41" t="inlineStr">
        <is>
          <t>IAP revenue, refund rate, chargebacks</t>
        </is>
      </c>
      <c r="D21" s="18" t="inlineStr"/>
      <c r="E21" s="18" t="inlineStr"/>
    </row>
    <row r="22">
      <c r="A22" s="40" t="inlineStr">
        <is>
          <t>Monitor Conversion Funnel</t>
        </is>
      </c>
      <c r="B22" s="17" t="inlineStr">
        <is>
          <t>Weekly</t>
        </is>
      </c>
      <c r="C22" s="40" t="inlineStr">
        <is>
          <t>Install → Register → First Purchase → Repeat</t>
        </is>
      </c>
      <c r="D22" s="17" t="inlineStr"/>
      <c r="E22" s="17" t="inlineStr"/>
    </row>
    <row r="23">
      <c r="A23" s="41" t="inlineStr">
        <is>
          <t>Update User Cohort Analysis</t>
        </is>
      </c>
      <c r="B23" s="18" t="inlineStr">
        <is>
          <t>Monthly</t>
        </is>
      </c>
      <c r="C23" s="41" t="inlineStr">
        <is>
          <t>Retention curves by install week</t>
        </is>
      </c>
      <c r="D23" s="18" t="inlineStr"/>
      <c r="E23" s="18" t="inlineStr"/>
    </row>
    <row r="24">
      <c r="A24" s="40" t="inlineStr">
        <is>
          <t>Review Churn Reasons</t>
        </is>
      </c>
      <c r="B24" s="17" t="inlineStr">
        <is>
          <t>Monthly</t>
        </is>
      </c>
      <c r="C24" s="40" t="inlineStr">
        <is>
          <t>Survey lapsed users, analyze drop-off points</t>
        </is>
      </c>
      <c r="D24" s="17" t="inlineStr"/>
      <c r="E24" s="17" t="inlineStr"/>
    </row>
    <row r="25">
      <c r="A25" s="41" t="inlineStr">
        <is>
          <t>A/B Test Pricing</t>
        </is>
      </c>
      <c r="B25" s="18" t="inlineStr">
        <is>
          <t>Quarterly</t>
        </is>
      </c>
      <c r="C25" s="41" t="inlineStr">
        <is>
          <t>Test different price points and bundles</t>
        </is>
      </c>
      <c r="D25" s="18" t="inlineStr"/>
      <c r="E25" s="18" t="inlineStr"/>
    </row>
    <row r="26">
      <c r="A26" s="40" t="inlineStr">
        <is>
          <t>Update Financial Model</t>
        </is>
      </c>
      <c r="B26" s="17" t="inlineStr">
        <is>
          <t>Monthly</t>
        </is>
      </c>
      <c r="C26" s="40" t="inlineStr">
        <is>
          <t>Actuals vs. forecast, adjust projections</t>
        </is>
      </c>
      <c r="D26" s="17" t="inlineStr"/>
      <c r="E26" s="17" t="inlineStr"/>
    </row>
    <row r="27">
      <c r="A27" s="41" t="inlineStr">
        <is>
          <t>Review Season Pass Performance</t>
        </is>
      </c>
      <c r="B27" s="18" t="inlineStr">
        <is>
          <t>Per Season</t>
        </is>
      </c>
      <c r="C27" s="41" t="inlineStr">
        <is>
          <t>Completion rates, upgrade rates</t>
        </is>
      </c>
      <c r="D27" s="18" t="inlineStr"/>
      <c r="E27" s="18" t="inlineStr"/>
    </row>
    <row r="28">
      <c r="A28" s="40" t="inlineStr">
        <is>
          <t>Competitor Analysis</t>
        </is>
      </c>
      <c r="B28" s="17" t="inlineStr">
        <is>
          <t>Quarterly</t>
        </is>
      </c>
      <c r="C28" s="40" t="inlineStr">
        <is>
          <t>New entrants, pricing changes, features</t>
        </is>
      </c>
      <c r="D28" s="17" t="inlineStr"/>
      <c r="E28" s="17" t="inlineStr"/>
    </row>
    <row r="29">
      <c r="A29" s="41" t="inlineStr">
        <is>
          <t>Tax &amp; Compliance Review</t>
        </is>
      </c>
      <c r="B29" s="18" t="inlineStr">
        <is>
          <t>Quarterly</t>
        </is>
      </c>
      <c r="C29" s="41" t="inlineStr">
        <is>
          <t>Sales tax, VAT, app store settlements</t>
        </is>
      </c>
      <c r="D29" s="18" t="inlineStr"/>
      <c r="E29" s="18" t="inlineStr"/>
    </row>
    <row r="30">
      <c r="A30" s="40" t="inlineStr">
        <is>
          <t>Marketing ROI Analysis</t>
        </is>
      </c>
      <c r="B30" s="17" t="inlineStr">
        <is>
          <t>Monthly</t>
        </is>
      </c>
      <c r="C30" s="40" t="inlineStr">
        <is>
          <t>CAC by channel, ROAS, attribution</t>
        </is>
      </c>
      <c r="D30" s="17" t="inlineStr"/>
      <c r="E30" s="17" t="inlineStr"/>
    </row>
    <row r="31">
      <c r="A31" s="41" t="inlineStr">
        <is>
          <t>User Feedback Review</t>
        </is>
      </c>
      <c r="B31" s="18" t="inlineStr">
        <is>
          <t>Weekly</t>
        </is>
      </c>
      <c r="C31" s="41" t="inlineStr">
        <is>
          <t>App store reviews, support tickets, social media</t>
        </is>
      </c>
      <c r="D31" s="18" t="inlineStr"/>
      <c r="E31" s="18" t="inlineStr"/>
    </row>
    <row r="32">
      <c r="A32" s="40" t="inlineStr">
        <is>
          <t>Feature Prioritization</t>
        </is>
      </c>
      <c r="B32" s="17" t="inlineStr">
        <is>
          <t>Monthly</t>
        </is>
      </c>
      <c r="C32" s="40" t="inlineStr">
        <is>
          <t>Revenue impact vs. development cost</t>
        </is>
      </c>
      <c r="D32" s="17" t="inlineStr"/>
      <c r="E32" s="17" t="inlineStr"/>
    </row>
    <row r="33">
      <c r="A33" s="41" t="inlineStr">
        <is>
          <t>Cash Flow Forecast Update</t>
        </is>
      </c>
      <c r="B33" s="18" t="inlineStr">
        <is>
          <t>Monthly</t>
        </is>
      </c>
      <c r="C33" s="41" t="inlineStr">
        <is>
          <t>60-90 day cash runway, payment timing</t>
        </is>
      </c>
      <c r="D33" s="18" t="inlineStr"/>
      <c r="E33" s="18" t="inlineStr"/>
    </row>
  </sheetData>
  <mergeCells count="3">
    <mergeCell ref="A1:E1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498DB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APP STORE FEE OPTIMIZATION GUIDE</t>
        </is>
      </c>
    </row>
    <row r="3">
      <c r="A3" s="3" t="inlineStr">
        <is>
          <t>APPLE APP STORE SMALL BUSINESS PROGRAM</t>
        </is>
      </c>
      <c r="B3" s="3" t="n"/>
      <c r="C3" s="3" t="n"/>
      <c r="D3" s="3" t="n"/>
      <c r="E3" s="3" t="n"/>
      <c r="F3" s="3" t="n"/>
    </row>
    <row r="4">
      <c r="A4" s="4" t="inlineStr">
        <is>
          <t>Eligibility</t>
        </is>
      </c>
      <c r="B4" s="5" t="inlineStr">
        <is>
          <t>Earn &lt; $1M in annual proceeds across all apps</t>
        </is>
      </c>
      <c r="C4" s="6" t="n"/>
      <c r="D4" s="6" t="n"/>
      <c r="E4" s="6" t="n"/>
      <c r="F4" s="6" t="n"/>
    </row>
    <row r="5">
      <c r="A5" s="7" t="inlineStr">
        <is>
          <t>Commission Rate</t>
        </is>
      </c>
      <c r="B5" s="8" t="inlineStr">
        <is>
          <t>15% (vs. standard 30%)</t>
        </is>
      </c>
    </row>
    <row r="6">
      <c r="A6" s="4" t="inlineStr">
        <is>
          <t>Savings</t>
        </is>
      </c>
      <c r="B6" s="5" t="inlineStr">
        <is>
          <t>50% reduction in fees</t>
        </is>
      </c>
      <c r="C6" s="6" t="n"/>
      <c r="D6" s="6" t="n"/>
      <c r="E6" s="6" t="n"/>
      <c r="F6" s="6" t="n"/>
    </row>
    <row r="7">
      <c r="A7" s="7" t="inlineStr">
        <is>
          <t>Application</t>
        </is>
      </c>
      <c r="B7" s="8" t="inlineStr">
        <is>
          <t>Apply at developer.apple.com/enroll</t>
        </is>
      </c>
    </row>
    <row r="8">
      <c r="A8" s="4" t="inlineStr">
        <is>
          <t>Renewal</t>
        </is>
      </c>
      <c r="B8" s="5" t="inlineStr">
        <is>
          <t>Auto-renews if you stay under $1M</t>
        </is>
      </c>
      <c r="C8" s="6" t="n"/>
      <c r="D8" s="6" t="n"/>
      <c r="E8" s="6" t="n"/>
      <c r="F8" s="6" t="n"/>
    </row>
    <row r="9">
      <c r="A9" s="7" t="inlineStr">
        <is>
          <t>If You Exceed $1M</t>
        </is>
      </c>
      <c r="B9" s="8" t="inlineStr">
        <is>
          <t>Standard 30% rate applies for rest of year</t>
        </is>
      </c>
    </row>
    <row r="10">
      <c r="A10" s="4" t="inlineStr">
        <is>
          <t>Subscriptions</t>
        </is>
      </c>
      <c r="B10" s="5" t="inlineStr">
        <is>
          <t>15% after Year 1 subscriber (regardless of program)</t>
        </is>
      </c>
      <c r="C10" s="6" t="n"/>
      <c r="D10" s="6" t="n"/>
      <c r="E10" s="6" t="n"/>
      <c r="F10" s="6" t="n"/>
    </row>
    <row r="13">
      <c r="A13" s="3" t="inlineStr">
        <is>
          <t>GOOGLE PLAY FEE STRUCTURE</t>
        </is>
      </c>
      <c r="B13" s="3" t="n"/>
      <c r="C13" s="3" t="n"/>
      <c r="D13" s="3" t="n"/>
      <c r="E13" s="3" t="n"/>
      <c r="F13" s="3" t="n"/>
    </row>
    <row r="14">
      <c r="A14" s="4" t="inlineStr">
        <is>
          <t>Service Fee Tier 1</t>
        </is>
      </c>
      <c r="B14" s="5" t="inlineStr">
        <is>
          <t>15% on first $1M of annual revenue</t>
        </is>
      </c>
      <c r="C14" s="6" t="n"/>
      <c r="D14" s="6" t="n"/>
      <c r="E14" s="6" t="n"/>
      <c r="F14" s="6" t="n"/>
    </row>
    <row r="15">
      <c r="A15" s="7" t="inlineStr">
        <is>
          <t>Service Fee Tier 2</t>
        </is>
      </c>
      <c r="B15" s="8" t="inlineStr">
        <is>
          <t>30% on revenue above $1M</t>
        </is>
      </c>
    </row>
    <row r="16">
      <c r="A16" s="4" t="inlineStr">
        <is>
          <t>Subscriptions</t>
        </is>
      </c>
      <c r="B16" s="5" t="inlineStr">
        <is>
          <t>15% for all subscription revenue (as of 2022)</t>
        </is>
      </c>
      <c r="C16" s="6" t="n"/>
      <c r="D16" s="6" t="n"/>
      <c r="E16" s="6" t="n"/>
      <c r="F16" s="6" t="n"/>
    </row>
    <row r="17">
      <c r="A17" s="7" t="inlineStr">
        <is>
          <t>Key Advantage</t>
        </is>
      </c>
      <c r="B17" s="8" t="inlineStr">
        <is>
          <t>Google's 15% tier applies to ALL developers, no application needed</t>
        </is>
      </c>
    </row>
    <row r="18">
      <c r="A18" s="4" t="inlineStr">
        <is>
          <t>Media Content</t>
        </is>
      </c>
      <c r="B18" s="5" t="inlineStr">
        <is>
          <t>10% for ebooks, music streaming</t>
        </is>
      </c>
      <c r="C18" s="6" t="n"/>
      <c r="D18" s="6" t="n"/>
      <c r="E18" s="6" t="n"/>
      <c r="F18" s="6" t="n"/>
    </row>
    <row r="19">
      <c r="A19" s="7" t="inlineStr">
        <is>
          <t>Payment</t>
        </is>
      </c>
      <c r="B19" s="8" t="inlineStr">
        <is>
          <t>Net-30 payment terms via Google payments</t>
        </is>
      </c>
    </row>
    <row r="22">
      <c r="A22" s="3" t="inlineStr">
        <is>
          <t>FEE SAVINGS CALCULATOR — 15% vs 30%</t>
        </is>
      </c>
      <c r="B22" s="3" t="n"/>
      <c r="C22" s="3" t="n"/>
      <c r="D22" s="3" t="n"/>
      <c r="E22" s="3" t="n"/>
      <c r="F22" s="3" t="n"/>
    </row>
    <row r="23">
      <c r="A23" s="10" t="inlineStr">
        <is>
          <t>Annual Gross Revenue</t>
        </is>
      </c>
      <c r="B23" s="10" t="inlineStr">
        <is>
          <t>At 30% Fee</t>
        </is>
      </c>
      <c r="C23" s="10" t="inlineStr">
        <is>
          <t>At 15% Fee</t>
        </is>
      </c>
      <c r="D23" s="10" t="inlineStr">
        <is>
          <t>You Keep (30%)</t>
        </is>
      </c>
      <c r="E23" s="10" t="inlineStr">
        <is>
          <t>You Keep (15%)</t>
        </is>
      </c>
      <c r="F23" s="10" t="inlineStr">
        <is>
          <t>Annual Savings</t>
        </is>
      </c>
    </row>
    <row r="24">
      <c r="A24" s="20" t="n">
        <v>5000</v>
      </c>
      <c r="B24" s="20" t="n">
        <v>1500</v>
      </c>
      <c r="C24" s="20" t="n">
        <v>750</v>
      </c>
      <c r="D24" s="20" t="n">
        <v>3500</v>
      </c>
      <c r="E24" s="20" t="n">
        <v>4250</v>
      </c>
      <c r="F24" s="59" t="n">
        <v>750</v>
      </c>
    </row>
    <row r="25">
      <c r="A25" s="22" t="n">
        <v>10000</v>
      </c>
      <c r="B25" s="22" t="n">
        <v>3000</v>
      </c>
      <c r="C25" s="22" t="n">
        <v>1500</v>
      </c>
      <c r="D25" s="22" t="n">
        <v>7000</v>
      </c>
      <c r="E25" s="22" t="n">
        <v>8500</v>
      </c>
      <c r="F25" s="59" t="n">
        <v>1500</v>
      </c>
    </row>
    <row r="26">
      <c r="A26" s="20" t="n">
        <v>25000</v>
      </c>
      <c r="B26" s="20" t="n">
        <v>7500</v>
      </c>
      <c r="C26" s="20" t="n">
        <v>3750</v>
      </c>
      <c r="D26" s="20" t="n">
        <v>17500</v>
      </c>
      <c r="E26" s="20" t="n">
        <v>21250</v>
      </c>
      <c r="F26" s="59" t="n">
        <v>3750</v>
      </c>
    </row>
    <row r="27">
      <c r="A27" s="22" t="n">
        <v>50000</v>
      </c>
      <c r="B27" s="22" t="n">
        <v>15000</v>
      </c>
      <c r="C27" s="22" t="n">
        <v>7500</v>
      </c>
      <c r="D27" s="22" t="n">
        <v>35000</v>
      </c>
      <c r="E27" s="22" t="n">
        <v>42500</v>
      </c>
      <c r="F27" s="59" t="n">
        <v>7500</v>
      </c>
    </row>
    <row r="28">
      <c r="A28" s="20" t="n">
        <v>100000</v>
      </c>
      <c r="B28" s="20" t="n">
        <v>30000</v>
      </c>
      <c r="C28" s="20" t="n">
        <v>15000</v>
      </c>
      <c r="D28" s="20" t="n">
        <v>70000</v>
      </c>
      <c r="E28" s="20" t="n">
        <v>85000</v>
      </c>
      <c r="F28" s="59" t="n">
        <v>15000</v>
      </c>
    </row>
    <row r="29">
      <c r="A29" s="22" t="n">
        <v>250000</v>
      </c>
      <c r="B29" s="22" t="n">
        <v>75000</v>
      </c>
      <c r="C29" s="22" t="n">
        <v>37500</v>
      </c>
      <c r="D29" s="22" t="n">
        <v>175000</v>
      </c>
      <c r="E29" s="22" t="n">
        <v>212500</v>
      </c>
      <c r="F29" s="59" t="n">
        <v>37500</v>
      </c>
    </row>
    <row r="30">
      <c r="A30" s="20" t="n">
        <v>500000</v>
      </c>
      <c r="B30" s="20" t="n">
        <v>150000</v>
      </c>
      <c r="C30" s="20" t="n">
        <v>75000</v>
      </c>
      <c r="D30" s="20" t="n">
        <v>350000</v>
      </c>
      <c r="E30" s="20" t="n">
        <v>425000</v>
      </c>
      <c r="F30" s="59" t="n">
        <v>75000</v>
      </c>
    </row>
    <row r="31">
      <c r="A31" s="22" t="n">
        <v>750000</v>
      </c>
      <c r="B31" s="22" t="n">
        <v>225000</v>
      </c>
      <c r="C31" s="22" t="n">
        <v>112500</v>
      </c>
      <c r="D31" s="22" t="n">
        <v>525000</v>
      </c>
      <c r="E31" s="22" t="n">
        <v>637500</v>
      </c>
      <c r="F31" s="59" t="n">
        <v>112500</v>
      </c>
    </row>
    <row r="32">
      <c r="A32" s="20" t="n">
        <v>1000000</v>
      </c>
      <c r="B32" s="20" t="n">
        <v>300000</v>
      </c>
      <c r="C32" s="20" t="n">
        <v>150000</v>
      </c>
      <c r="D32" s="20" t="n">
        <v>700000</v>
      </c>
      <c r="E32" s="20" t="n">
        <v>850000</v>
      </c>
      <c r="F32" s="59" t="n">
        <v>150000</v>
      </c>
    </row>
  </sheetData>
  <mergeCells count="17">
    <mergeCell ref="B4:F4"/>
    <mergeCell ref="B7:F7"/>
    <mergeCell ref="B6:F6"/>
    <mergeCell ref="A13:F13"/>
    <mergeCell ref="B16:F16"/>
    <mergeCell ref="B15:F15"/>
    <mergeCell ref="B10:F10"/>
    <mergeCell ref="A1:F1"/>
    <mergeCell ref="B18:F18"/>
    <mergeCell ref="B5:F5"/>
    <mergeCell ref="B19:F19"/>
    <mergeCell ref="B14:F14"/>
    <mergeCell ref="A22:F22"/>
    <mergeCell ref="B8:F8"/>
    <mergeCell ref="A3:F3"/>
    <mergeCell ref="B17:F17"/>
    <mergeCell ref="B9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220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</cols>
  <sheetData>
    <row r="1">
      <c r="A1" t="inlineStr">
        <is>
          <t>Month</t>
        </is>
      </c>
      <c r="B1" t="inlineStr">
        <is>
          <t>Free Users</t>
        </is>
      </c>
      <c r="C1" t="inlineStr">
        <is>
          <t>Paying Users</t>
        </is>
      </c>
      <c r="D1" t="inlineStr">
        <is>
          <t>Total Active</t>
        </is>
      </c>
      <c r="E1" t="inlineStr">
        <is>
          <t>Gross Revenue</t>
        </is>
      </c>
      <c r="F1" t="inlineStr">
        <is>
          <t>Net Revenue</t>
        </is>
      </c>
      <c r="G1" t="inlineStr">
        <is>
          <t>Net Profit/Loss</t>
        </is>
      </c>
      <c r="H1" t="inlineStr">
        <is>
          <t>Cumulative P/L</t>
        </is>
      </c>
      <c r="I1" t="inlineStr">
        <is>
          <t>New Installs</t>
        </is>
      </c>
    </row>
    <row r="2">
      <c r="A2" t="n">
        <v>1</v>
      </c>
      <c r="B2">
        <f>'60-Month Forecast'!D20</f>
        <v/>
      </c>
      <c r="C2">
        <f>'60-Month Forecast'!E20</f>
        <v/>
      </c>
      <c r="D2">
        <f>'60-Month Forecast'!F20</f>
        <v/>
      </c>
      <c r="E2">
        <f>'60-Month Forecast'!H20</f>
        <v/>
      </c>
      <c r="F2">
        <f>'60-Month Forecast'!J20</f>
        <v/>
      </c>
      <c r="G2">
        <f>'60-Month Forecast'!O20</f>
        <v/>
      </c>
      <c r="H2">
        <f>'60-Month Forecast'!P20</f>
        <v/>
      </c>
      <c r="I2">
        <f>'60-Month Forecast'!B20</f>
        <v/>
      </c>
    </row>
    <row r="3">
      <c r="A3" t="n">
        <v>2</v>
      </c>
      <c r="B3">
        <f>'60-Month Forecast'!D21</f>
        <v/>
      </c>
      <c r="C3">
        <f>'60-Month Forecast'!E21</f>
        <v/>
      </c>
      <c r="D3">
        <f>'60-Month Forecast'!F21</f>
        <v/>
      </c>
      <c r="E3">
        <f>'60-Month Forecast'!H21</f>
        <v/>
      </c>
      <c r="F3">
        <f>'60-Month Forecast'!J21</f>
        <v/>
      </c>
      <c r="G3">
        <f>'60-Month Forecast'!O21</f>
        <v/>
      </c>
      <c r="H3">
        <f>'60-Month Forecast'!P21</f>
        <v/>
      </c>
      <c r="I3">
        <f>'60-Month Forecast'!B21</f>
        <v/>
      </c>
    </row>
    <row r="4">
      <c r="A4" t="n">
        <v>3</v>
      </c>
      <c r="B4">
        <f>'60-Month Forecast'!D22</f>
        <v/>
      </c>
      <c r="C4">
        <f>'60-Month Forecast'!E22</f>
        <v/>
      </c>
      <c r="D4">
        <f>'60-Month Forecast'!F22</f>
        <v/>
      </c>
      <c r="E4">
        <f>'60-Month Forecast'!H22</f>
        <v/>
      </c>
      <c r="F4">
        <f>'60-Month Forecast'!J22</f>
        <v/>
      </c>
      <c r="G4">
        <f>'60-Month Forecast'!O22</f>
        <v/>
      </c>
      <c r="H4">
        <f>'60-Month Forecast'!P22</f>
        <v/>
      </c>
      <c r="I4">
        <f>'60-Month Forecast'!B22</f>
        <v/>
      </c>
    </row>
    <row r="5">
      <c r="A5" t="n">
        <v>4</v>
      </c>
      <c r="B5">
        <f>'60-Month Forecast'!D23</f>
        <v/>
      </c>
      <c r="C5">
        <f>'60-Month Forecast'!E23</f>
        <v/>
      </c>
      <c r="D5">
        <f>'60-Month Forecast'!F23</f>
        <v/>
      </c>
      <c r="E5">
        <f>'60-Month Forecast'!H23</f>
        <v/>
      </c>
      <c r="F5">
        <f>'60-Month Forecast'!J23</f>
        <v/>
      </c>
      <c r="G5">
        <f>'60-Month Forecast'!O23</f>
        <v/>
      </c>
      <c r="H5">
        <f>'60-Month Forecast'!P23</f>
        <v/>
      </c>
      <c r="I5">
        <f>'60-Month Forecast'!B23</f>
        <v/>
      </c>
    </row>
    <row r="6">
      <c r="A6" t="n">
        <v>5</v>
      </c>
      <c r="B6">
        <f>'60-Month Forecast'!D24</f>
        <v/>
      </c>
      <c r="C6">
        <f>'60-Month Forecast'!E24</f>
        <v/>
      </c>
      <c r="D6">
        <f>'60-Month Forecast'!F24</f>
        <v/>
      </c>
      <c r="E6">
        <f>'60-Month Forecast'!H24</f>
        <v/>
      </c>
      <c r="F6">
        <f>'60-Month Forecast'!J24</f>
        <v/>
      </c>
      <c r="G6">
        <f>'60-Month Forecast'!O24</f>
        <v/>
      </c>
      <c r="H6">
        <f>'60-Month Forecast'!P24</f>
        <v/>
      </c>
      <c r="I6">
        <f>'60-Month Forecast'!B24</f>
        <v/>
      </c>
    </row>
    <row r="7">
      <c r="A7" t="n">
        <v>6</v>
      </c>
      <c r="B7">
        <f>'60-Month Forecast'!D25</f>
        <v/>
      </c>
      <c r="C7">
        <f>'60-Month Forecast'!E25</f>
        <v/>
      </c>
      <c r="D7">
        <f>'60-Month Forecast'!F25</f>
        <v/>
      </c>
      <c r="E7">
        <f>'60-Month Forecast'!H25</f>
        <v/>
      </c>
      <c r="F7">
        <f>'60-Month Forecast'!J25</f>
        <v/>
      </c>
      <c r="G7">
        <f>'60-Month Forecast'!O25</f>
        <v/>
      </c>
      <c r="H7">
        <f>'60-Month Forecast'!P25</f>
        <v/>
      </c>
      <c r="I7">
        <f>'60-Month Forecast'!B25</f>
        <v/>
      </c>
    </row>
    <row r="8">
      <c r="A8" t="n">
        <v>7</v>
      </c>
      <c r="B8">
        <f>'60-Month Forecast'!D26</f>
        <v/>
      </c>
      <c r="C8">
        <f>'60-Month Forecast'!E26</f>
        <v/>
      </c>
      <c r="D8">
        <f>'60-Month Forecast'!F26</f>
        <v/>
      </c>
      <c r="E8">
        <f>'60-Month Forecast'!H26</f>
        <v/>
      </c>
      <c r="F8">
        <f>'60-Month Forecast'!J26</f>
        <v/>
      </c>
      <c r="G8">
        <f>'60-Month Forecast'!O26</f>
        <v/>
      </c>
      <c r="H8">
        <f>'60-Month Forecast'!P26</f>
        <v/>
      </c>
      <c r="I8">
        <f>'60-Month Forecast'!B26</f>
        <v/>
      </c>
    </row>
    <row r="9">
      <c r="A9" t="n">
        <v>8</v>
      </c>
      <c r="B9">
        <f>'60-Month Forecast'!D27</f>
        <v/>
      </c>
      <c r="C9">
        <f>'60-Month Forecast'!E27</f>
        <v/>
      </c>
      <c r="D9">
        <f>'60-Month Forecast'!F27</f>
        <v/>
      </c>
      <c r="E9">
        <f>'60-Month Forecast'!H27</f>
        <v/>
      </c>
      <c r="F9">
        <f>'60-Month Forecast'!J27</f>
        <v/>
      </c>
      <c r="G9">
        <f>'60-Month Forecast'!O27</f>
        <v/>
      </c>
      <c r="H9">
        <f>'60-Month Forecast'!P27</f>
        <v/>
      </c>
      <c r="I9">
        <f>'60-Month Forecast'!B27</f>
        <v/>
      </c>
    </row>
    <row r="10">
      <c r="A10" t="n">
        <v>9</v>
      </c>
      <c r="B10">
        <f>'60-Month Forecast'!D28</f>
        <v/>
      </c>
      <c r="C10">
        <f>'60-Month Forecast'!E28</f>
        <v/>
      </c>
      <c r="D10">
        <f>'60-Month Forecast'!F28</f>
        <v/>
      </c>
      <c r="E10">
        <f>'60-Month Forecast'!H28</f>
        <v/>
      </c>
      <c r="F10">
        <f>'60-Month Forecast'!J28</f>
        <v/>
      </c>
      <c r="G10">
        <f>'60-Month Forecast'!O28</f>
        <v/>
      </c>
      <c r="H10">
        <f>'60-Month Forecast'!P28</f>
        <v/>
      </c>
      <c r="I10">
        <f>'60-Month Forecast'!B28</f>
        <v/>
      </c>
    </row>
    <row r="11">
      <c r="A11" t="n">
        <v>10</v>
      </c>
      <c r="B11">
        <f>'60-Month Forecast'!D29</f>
        <v/>
      </c>
      <c r="C11">
        <f>'60-Month Forecast'!E29</f>
        <v/>
      </c>
      <c r="D11">
        <f>'60-Month Forecast'!F29</f>
        <v/>
      </c>
      <c r="E11">
        <f>'60-Month Forecast'!H29</f>
        <v/>
      </c>
      <c r="F11">
        <f>'60-Month Forecast'!J29</f>
        <v/>
      </c>
      <c r="G11">
        <f>'60-Month Forecast'!O29</f>
        <v/>
      </c>
      <c r="H11">
        <f>'60-Month Forecast'!P29</f>
        <v/>
      </c>
      <c r="I11">
        <f>'60-Month Forecast'!B29</f>
        <v/>
      </c>
    </row>
    <row r="12">
      <c r="A12" t="n">
        <v>11</v>
      </c>
      <c r="B12">
        <f>'60-Month Forecast'!D30</f>
        <v/>
      </c>
      <c r="C12">
        <f>'60-Month Forecast'!E30</f>
        <v/>
      </c>
      <c r="D12">
        <f>'60-Month Forecast'!F30</f>
        <v/>
      </c>
      <c r="E12">
        <f>'60-Month Forecast'!H30</f>
        <v/>
      </c>
      <c r="F12">
        <f>'60-Month Forecast'!J30</f>
        <v/>
      </c>
      <c r="G12">
        <f>'60-Month Forecast'!O30</f>
        <v/>
      </c>
      <c r="H12">
        <f>'60-Month Forecast'!P30</f>
        <v/>
      </c>
      <c r="I12">
        <f>'60-Month Forecast'!B30</f>
        <v/>
      </c>
    </row>
    <row r="13">
      <c r="A13" t="n">
        <v>12</v>
      </c>
      <c r="B13">
        <f>'60-Month Forecast'!D31</f>
        <v/>
      </c>
      <c r="C13">
        <f>'60-Month Forecast'!E31</f>
        <v/>
      </c>
      <c r="D13">
        <f>'60-Month Forecast'!F31</f>
        <v/>
      </c>
      <c r="E13">
        <f>'60-Month Forecast'!H31</f>
        <v/>
      </c>
      <c r="F13">
        <f>'60-Month Forecast'!J31</f>
        <v/>
      </c>
      <c r="G13">
        <f>'60-Month Forecast'!O31</f>
        <v/>
      </c>
      <c r="H13">
        <f>'60-Month Forecast'!P31</f>
        <v/>
      </c>
      <c r="I13">
        <f>'60-Month Forecast'!B31</f>
        <v/>
      </c>
    </row>
    <row r="14">
      <c r="A14" t="n">
        <v>13</v>
      </c>
      <c r="B14">
        <f>'60-Month Forecast'!D32</f>
        <v/>
      </c>
      <c r="C14">
        <f>'60-Month Forecast'!E32</f>
        <v/>
      </c>
      <c r="D14">
        <f>'60-Month Forecast'!F32</f>
        <v/>
      </c>
      <c r="E14">
        <f>'60-Month Forecast'!H32</f>
        <v/>
      </c>
      <c r="F14">
        <f>'60-Month Forecast'!J32</f>
        <v/>
      </c>
      <c r="G14">
        <f>'60-Month Forecast'!O32</f>
        <v/>
      </c>
      <c r="H14">
        <f>'60-Month Forecast'!P32</f>
        <v/>
      </c>
      <c r="I14">
        <f>'60-Month Forecast'!B32</f>
        <v/>
      </c>
    </row>
    <row r="15">
      <c r="A15" t="n">
        <v>14</v>
      </c>
      <c r="B15">
        <f>'60-Month Forecast'!D33</f>
        <v/>
      </c>
      <c r="C15">
        <f>'60-Month Forecast'!E33</f>
        <v/>
      </c>
      <c r="D15">
        <f>'60-Month Forecast'!F33</f>
        <v/>
      </c>
      <c r="E15">
        <f>'60-Month Forecast'!H33</f>
        <v/>
      </c>
      <c r="F15">
        <f>'60-Month Forecast'!J33</f>
        <v/>
      </c>
      <c r="G15">
        <f>'60-Month Forecast'!O33</f>
        <v/>
      </c>
      <c r="H15">
        <f>'60-Month Forecast'!P33</f>
        <v/>
      </c>
      <c r="I15">
        <f>'60-Month Forecast'!B33</f>
        <v/>
      </c>
    </row>
    <row r="16">
      <c r="A16" t="n">
        <v>15</v>
      </c>
      <c r="B16">
        <f>'60-Month Forecast'!D34</f>
        <v/>
      </c>
      <c r="C16">
        <f>'60-Month Forecast'!E34</f>
        <v/>
      </c>
      <c r="D16">
        <f>'60-Month Forecast'!F34</f>
        <v/>
      </c>
      <c r="E16">
        <f>'60-Month Forecast'!H34</f>
        <v/>
      </c>
      <c r="F16">
        <f>'60-Month Forecast'!J34</f>
        <v/>
      </c>
      <c r="G16">
        <f>'60-Month Forecast'!O34</f>
        <v/>
      </c>
      <c r="H16">
        <f>'60-Month Forecast'!P34</f>
        <v/>
      </c>
      <c r="I16">
        <f>'60-Month Forecast'!B34</f>
        <v/>
      </c>
    </row>
    <row r="17">
      <c r="A17" t="n">
        <v>16</v>
      </c>
      <c r="B17">
        <f>'60-Month Forecast'!D35</f>
        <v/>
      </c>
      <c r="C17">
        <f>'60-Month Forecast'!E35</f>
        <v/>
      </c>
      <c r="D17">
        <f>'60-Month Forecast'!F35</f>
        <v/>
      </c>
      <c r="E17">
        <f>'60-Month Forecast'!H35</f>
        <v/>
      </c>
      <c r="F17">
        <f>'60-Month Forecast'!J35</f>
        <v/>
      </c>
      <c r="G17">
        <f>'60-Month Forecast'!O35</f>
        <v/>
      </c>
      <c r="H17">
        <f>'60-Month Forecast'!P35</f>
        <v/>
      </c>
      <c r="I17">
        <f>'60-Month Forecast'!B35</f>
        <v/>
      </c>
    </row>
    <row r="18">
      <c r="A18" t="n">
        <v>17</v>
      </c>
      <c r="B18">
        <f>'60-Month Forecast'!D36</f>
        <v/>
      </c>
      <c r="C18">
        <f>'60-Month Forecast'!E36</f>
        <v/>
      </c>
      <c r="D18">
        <f>'60-Month Forecast'!F36</f>
        <v/>
      </c>
      <c r="E18">
        <f>'60-Month Forecast'!H36</f>
        <v/>
      </c>
      <c r="F18">
        <f>'60-Month Forecast'!J36</f>
        <v/>
      </c>
      <c r="G18">
        <f>'60-Month Forecast'!O36</f>
        <v/>
      </c>
      <c r="H18">
        <f>'60-Month Forecast'!P36</f>
        <v/>
      </c>
      <c r="I18">
        <f>'60-Month Forecast'!B36</f>
        <v/>
      </c>
    </row>
    <row r="19">
      <c r="A19" t="n">
        <v>18</v>
      </c>
      <c r="B19">
        <f>'60-Month Forecast'!D37</f>
        <v/>
      </c>
      <c r="C19">
        <f>'60-Month Forecast'!E37</f>
        <v/>
      </c>
      <c r="D19">
        <f>'60-Month Forecast'!F37</f>
        <v/>
      </c>
      <c r="E19">
        <f>'60-Month Forecast'!H37</f>
        <v/>
      </c>
      <c r="F19">
        <f>'60-Month Forecast'!J37</f>
        <v/>
      </c>
      <c r="G19">
        <f>'60-Month Forecast'!O37</f>
        <v/>
      </c>
      <c r="H19">
        <f>'60-Month Forecast'!P37</f>
        <v/>
      </c>
      <c r="I19">
        <f>'60-Month Forecast'!B37</f>
        <v/>
      </c>
    </row>
    <row r="20">
      <c r="A20" t="n">
        <v>19</v>
      </c>
      <c r="B20">
        <f>'60-Month Forecast'!D38</f>
        <v/>
      </c>
      <c r="C20">
        <f>'60-Month Forecast'!E38</f>
        <v/>
      </c>
      <c r="D20">
        <f>'60-Month Forecast'!F38</f>
        <v/>
      </c>
      <c r="E20">
        <f>'60-Month Forecast'!H38</f>
        <v/>
      </c>
      <c r="F20">
        <f>'60-Month Forecast'!J38</f>
        <v/>
      </c>
      <c r="G20">
        <f>'60-Month Forecast'!O38</f>
        <v/>
      </c>
      <c r="H20">
        <f>'60-Month Forecast'!P38</f>
        <v/>
      </c>
      <c r="I20">
        <f>'60-Month Forecast'!B38</f>
        <v/>
      </c>
    </row>
    <row r="21">
      <c r="A21" t="n">
        <v>20</v>
      </c>
      <c r="B21">
        <f>'60-Month Forecast'!D39</f>
        <v/>
      </c>
      <c r="C21">
        <f>'60-Month Forecast'!E39</f>
        <v/>
      </c>
      <c r="D21">
        <f>'60-Month Forecast'!F39</f>
        <v/>
      </c>
      <c r="E21">
        <f>'60-Month Forecast'!H39</f>
        <v/>
      </c>
      <c r="F21">
        <f>'60-Month Forecast'!J39</f>
        <v/>
      </c>
      <c r="G21">
        <f>'60-Month Forecast'!O39</f>
        <v/>
      </c>
      <c r="H21">
        <f>'60-Month Forecast'!P39</f>
        <v/>
      </c>
      <c r="I21">
        <f>'60-Month Forecast'!B39</f>
        <v/>
      </c>
    </row>
    <row r="22">
      <c r="A22" t="n">
        <v>21</v>
      </c>
      <c r="B22">
        <f>'60-Month Forecast'!D40</f>
        <v/>
      </c>
      <c r="C22">
        <f>'60-Month Forecast'!E40</f>
        <v/>
      </c>
      <c r="D22">
        <f>'60-Month Forecast'!F40</f>
        <v/>
      </c>
      <c r="E22">
        <f>'60-Month Forecast'!H40</f>
        <v/>
      </c>
      <c r="F22">
        <f>'60-Month Forecast'!J40</f>
        <v/>
      </c>
      <c r="G22">
        <f>'60-Month Forecast'!O40</f>
        <v/>
      </c>
      <c r="H22">
        <f>'60-Month Forecast'!P40</f>
        <v/>
      </c>
      <c r="I22">
        <f>'60-Month Forecast'!B40</f>
        <v/>
      </c>
    </row>
    <row r="23">
      <c r="A23" t="n">
        <v>22</v>
      </c>
      <c r="B23">
        <f>'60-Month Forecast'!D41</f>
        <v/>
      </c>
      <c r="C23">
        <f>'60-Month Forecast'!E41</f>
        <v/>
      </c>
      <c r="D23">
        <f>'60-Month Forecast'!F41</f>
        <v/>
      </c>
      <c r="E23">
        <f>'60-Month Forecast'!H41</f>
        <v/>
      </c>
      <c r="F23">
        <f>'60-Month Forecast'!J41</f>
        <v/>
      </c>
      <c r="G23">
        <f>'60-Month Forecast'!O41</f>
        <v/>
      </c>
      <c r="H23">
        <f>'60-Month Forecast'!P41</f>
        <v/>
      </c>
      <c r="I23">
        <f>'60-Month Forecast'!B41</f>
        <v/>
      </c>
    </row>
    <row r="24">
      <c r="A24" t="n">
        <v>23</v>
      </c>
      <c r="B24">
        <f>'60-Month Forecast'!D42</f>
        <v/>
      </c>
      <c r="C24">
        <f>'60-Month Forecast'!E42</f>
        <v/>
      </c>
      <c r="D24">
        <f>'60-Month Forecast'!F42</f>
        <v/>
      </c>
      <c r="E24">
        <f>'60-Month Forecast'!H42</f>
        <v/>
      </c>
      <c r="F24">
        <f>'60-Month Forecast'!J42</f>
        <v/>
      </c>
      <c r="G24">
        <f>'60-Month Forecast'!O42</f>
        <v/>
      </c>
      <c r="H24">
        <f>'60-Month Forecast'!P42</f>
        <v/>
      </c>
      <c r="I24">
        <f>'60-Month Forecast'!B42</f>
        <v/>
      </c>
    </row>
    <row r="25">
      <c r="A25" t="n">
        <v>24</v>
      </c>
      <c r="B25">
        <f>'60-Month Forecast'!D43</f>
        <v/>
      </c>
      <c r="C25">
        <f>'60-Month Forecast'!E43</f>
        <v/>
      </c>
      <c r="D25">
        <f>'60-Month Forecast'!F43</f>
        <v/>
      </c>
      <c r="E25">
        <f>'60-Month Forecast'!H43</f>
        <v/>
      </c>
      <c r="F25">
        <f>'60-Month Forecast'!J43</f>
        <v/>
      </c>
      <c r="G25">
        <f>'60-Month Forecast'!O43</f>
        <v/>
      </c>
      <c r="H25">
        <f>'60-Month Forecast'!P43</f>
        <v/>
      </c>
      <c r="I25">
        <f>'60-Month Forecast'!B43</f>
        <v/>
      </c>
    </row>
    <row r="26">
      <c r="A26" t="n">
        <v>25</v>
      </c>
      <c r="B26">
        <f>'60-Month Forecast'!D44</f>
        <v/>
      </c>
      <c r="C26">
        <f>'60-Month Forecast'!E44</f>
        <v/>
      </c>
      <c r="D26">
        <f>'60-Month Forecast'!F44</f>
        <v/>
      </c>
      <c r="E26">
        <f>'60-Month Forecast'!H44</f>
        <v/>
      </c>
      <c r="F26">
        <f>'60-Month Forecast'!J44</f>
        <v/>
      </c>
      <c r="G26">
        <f>'60-Month Forecast'!O44</f>
        <v/>
      </c>
      <c r="H26">
        <f>'60-Month Forecast'!P44</f>
        <v/>
      </c>
      <c r="I26">
        <f>'60-Month Forecast'!B44</f>
        <v/>
      </c>
    </row>
    <row r="27">
      <c r="A27" t="n">
        <v>26</v>
      </c>
      <c r="B27">
        <f>'60-Month Forecast'!D45</f>
        <v/>
      </c>
      <c r="C27">
        <f>'60-Month Forecast'!E45</f>
        <v/>
      </c>
      <c r="D27">
        <f>'60-Month Forecast'!F45</f>
        <v/>
      </c>
      <c r="E27">
        <f>'60-Month Forecast'!H45</f>
        <v/>
      </c>
      <c r="F27">
        <f>'60-Month Forecast'!J45</f>
        <v/>
      </c>
      <c r="G27">
        <f>'60-Month Forecast'!O45</f>
        <v/>
      </c>
      <c r="H27">
        <f>'60-Month Forecast'!P45</f>
        <v/>
      </c>
      <c r="I27">
        <f>'60-Month Forecast'!B45</f>
        <v/>
      </c>
    </row>
    <row r="28">
      <c r="A28" t="n">
        <v>27</v>
      </c>
      <c r="B28">
        <f>'60-Month Forecast'!D46</f>
        <v/>
      </c>
      <c r="C28">
        <f>'60-Month Forecast'!E46</f>
        <v/>
      </c>
      <c r="D28">
        <f>'60-Month Forecast'!F46</f>
        <v/>
      </c>
      <c r="E28">
        <f>'60-Month Forecast'!H46</f>
        <v/>
      </c>
      <c r="F28">
        <f>'60-Month Forecast'!J46</f>
        <v/>
      </c>
      <c r="G28">
        <f>'60-Month Forecast'!O46</f>
        <v/>
      </c>
      <c r="H28">
        <f>'60-Month Forecast'!P46</f>
        <v/>
      </c>
      <c r="I28">
        <f>'60-Month Forecast'!B46</f>
        <v/>
      </c>
    </row>
    <row r="29">
      <c r="A29" t="n">
        <v>28</v>
      </c>
      <c r="B29">
        <f>'60-Month Forecast'!D47</f>
        <v/>
      </c>
      <c r="C29">
        <f>'60-Month Forecast'!E47</f>
        <v/>
      </c>
      <c r="D29">
        <f>'60-Month Forecast'!F47</f>
        <v/>
      </c>
      <c r="E29">
        <f>'60-Month Forecast'!H47</f>
        <v/>
      </c>
      <c r="F29">
        <f>'60-Month Forecast'!J47</f>
        <v/>
      </c>
      <c r="G29">
        <f>'60-Month Forecast'!O47</f>
        <v/>
      </c>
      <c r="H29">
        <f>'60-Month Forecast'!P47</f>
        <v/>
      </c>
      <c r="I29">
        <f>'60-Month Forecast'!B47</f>
        <v/>
      </c>
    </row>
    <row r="30">
      <c r="A30" t="n">
        <v>29</v>
      </c>
      <c r="B30">
        <f>'60-Month Forecast'!D48</f>
        <v/>
      </c>
      <c r="C30">
        <f>'60-Month Forecast'!E48</f>
        <v/>
      </c>
      <c r="D30">
        <f>'60-Month Forecast'!F48</f>
        <v/>
      </c>
      <c r="E30">
        <f>'60-Month Forecast'!H48</f>
        <v/>
      </c>
      <c r="F30">
        <f>'60-Month Forecast'!J48</f>
        <v/>
      </c>
      <c r="G30">
        <f>'60-Month Forecast'!O48</f>
        <v/>
      </c>
      <c r="H30">
        <f>'60-Month Forecast'!P48</f>
        <v/>
      </c>
      <c r="I30">
        <f>'60-Month Forecast'!B48</f>
        <v/>
      </c>
    </row>
    <row r="31">
      <c r="A31" t="n">
        <v>30</v>
      </c>
      <c r="B31">
        <f>'60-Month Forecast'!D49</f>
        <v/>
      </c>
      <c r="C31">
        <f>'60-Month Forecast'!E49</f>
        <v/>
      </c>
      <c r="D31">
        <f>'60-Month Forecast'!F49</f>
        <v/>
      </c>
      <c r="E31">
        <f>'60-Month Forecast'!H49</f>
        <v/>
      </c>
      <c r="F31">
        <f>'60-Month Forecast'!J49</f>
        <v/>
      </c>
      <c r="G31">
        <f>'60-Month Forecast'!O49</f>
        <v/>
      </c>
      <c r="H31">
        <f>'60-Month Forecast'!P49</f>
        <v/>
      </c>
      <c r="I31">
        <f>'60-Month Forecast'!B49</f>
        <v/>
      </c>
    </row>
    <row r="32">
      <c r="A32" t="n">
        <v>31</v>
      </c>
      <c r="B32">
        <f>'60-Month Forecast'!D50</f>
        <v/>
      </c>
      <c r="C32">
        <f>'60-Month Forecast'!E50</f>
        <v/>
      </c>
      <c r="D32">
        <f>'60-Month Forecast'!F50</f>
        <v/>
      </c>
      <c r="E32">
        <f>'60-Month Forecast'!H50</f>
        <v/>
      </c>
      <c r="F32">
        <f>'60-Month Forecast'!J50</f>
        <v/>
      </c>
      <c r="G32">
        <f>'60-Month Forecast'!O50</f>
        <v/>
      </c>
      <c r="H32">
        <f>'60-Month Forecast'!P50</f>
        <v/>
      </c>
      <c r="I32">
        <f>'60-Month Forecast'!B50</f>
        <v/>
      </c>
    </row>
    <row r="33">
      <c r="A33" t="n">
        <v>32</v>
      </c>
      <c r="B33">
        <f>'60-Month Forecast'!D51</f>
        <v/>
      </c>
      <c r="C33">
        <f>'60-Month Forecast'!E51</f>
        <v/>
      </c>
      <c r="D33">
        <f>'60-Month Forecast'!F51</f>
        <v/>
      </c>
      <c r="E33">
        <f>'60-Month Forecast'!H51</f>
        <v/>
      </c>
      <c r="F33">
        <f>'60-Month Forecast'!J51</f>
        <v/>
      </c>
      <c r="G33">
        <f>'60-Month Forecast'!O51</f>
        <v/>
      </c>
      <c r="H33">
        <f>'60-Month Forecast'!P51</f>
        <v/>
      </c>
      <c r="I33">
        <f>'60-Month Forecast'!B51</f>
        <v/>
      </c>
    </row>
    <row r="34">
      <c r="A34" t="n">
        <v>33</v>
      </c>
      <c r="B34">
        <f>'60-Month Forecast'!D52</f>
        <v/>
      </c>
      <c r="C34">
        <f>'60-Month Forecast'!E52</f>
        <v/>
      </c>
      <c r="D34">
        <f>'60-Month Forecast'!F52</f>
        <v/>
      </c>
      <c r="E34">
        <f>'60-Month Forecast'!H52</f>
        <v/>
      </c>
      <c r="F34">
        <f>'60-Month Forecast'!J52</f>
        <v/>
      </c>
      <c r="G34">
        <f>'60-Month Forecast'!O52</f>
        <v/>
      </c>
      <c r="H34">
        <f>'60-Month Forecast'!P52</f>
        <v/>
      </c>
      <c r="I34">
        <f>'60-Month Forecast'!B52</f>
        <v/>
      </c>
    </row>
    <row r="35">
      <c r="A35" t="n">
        <v>34</v>
      </c>
      <c r="B35">
        <f>'60-Month Forecast'!D53</f>
        <v/>
      </c>
      <c r="C35">
        <f>'60-Month Forecast'!E53</f>
        <v/>
      </c>
      <c r="D35">
        <f>'60-Month Forecast'!F53</f>
        <v/>
      </c>
      <c r="E35">
        <f>'60-Month Forecast'!H53</f>
        <v/>
      </c>
      <c r="F35">
        <f>'60-Month Forecast'!J53</f>
        <v/>
      </c>
      <c r="G35">
        <f>'60-Month Forecast'!O53</f>
        <v/>
      </c>
      <c r="H35">
        <f>'60-Month Forecast'!P53</f>
        <v/>
      </c>
      <c r="I35">
        <f>'60-Month Forecast'!B53</f>
        <v/>
      </c>
    </row>
    <row r="36">
      <c r="A36" t="n">
        <v>35</v>
      </c>
      <c r="B36">
        <f>'60-Month Forecast'!D54</f>
        <v/>
      </c>
      <c r="C36">
        <f>'60-Month Forecast'!E54</f>
        <v/>
      </c>
      <c r="D36">
        <f>'60-Month Forecast'!F54</f>
        <v/>
      </c>
      <c r="E36">
        <f>'60-Month Forecast'!H54</f>
        <v/>
      </c>
      <c r="F36">
        <f>'60-Month Forecast'!J54</f>
        <v/>
      </c>
      <c r="G36">
        <f>'60-Month Forecast'!O54</f>
        <v/>
      </c>
      <c r="H36">
        <f>'60-Month Forecast'!P54</f>
        <v/>
      </c>
      <c r="I36">
        <f>'60-Month Forecast'!B54</f>
        <v/>
      </c>
    </row>
    <row r="37">
      <c r="A37" t="n">
        <v>36</v>
      </c>
      <c r="B37">
        <f>'60-Month Forecast'!D55</f>
        <v/>
      </c>
      <c r="C37">
        <f>'60-Month Forecast'!E55</f>
        <v/>
      </c>
      <c r="D37">
        <f>'60-Month Forecast'!F55</f>
        <v/>
      </c>
      <c r="E37">
        <f>'60-Month Forecast'!H55</f>
        <v/>
      </c>
      <c r="F37">
        <f>'60-Month Forecast'!J55</f>
        <v/>
      </c>
      <c r="G37">
        <f>'60-Month Forecast'!O55</f>
        <v/>
      </c>
      <c r="H37">
        <f>'60-Month Forecast'!P55</f>
        <v/>
      </c>
      <c r="I37">
        <f>'60-Month Forecast'!B55</f>
        <v/>
      </c>
    </row>
    <row r="38">
      <c r="A38" t="n">
        <v>37</v>
      </c>
      <c r="B38">
        <f>'60-Month Forecast'!D56</f>
        <v/>
      </c>
      <c r="C38">
        <f>'60-Month Forecast'!E56</f>
        <v/>
      </c>
      <c r="D38">
        <f>'60-Month Forecast'!F56</f>
        <v/>
      </c>
      <c r="E38">
        <f>'60-Month Forecast'!H56</f>
        <v/>
      </c>
      <c r="F38">
        <f>'60-Month Forecast'!J56</f>
        <v/>
      </c>
      <c r="G38">
        <f>'60-Month Forecast'!O56</f>
        <v/>
      </c>
      <c r="H38">
        <f>'60-Month Forecast'!P56</f>
        <v/>
      </c>
      <c r="I38">
        <f>'60-Month Forecast'!B56</f>
        <v/>
      </c>
    </row>
    <row r="39">
      <c r="A39" t="n">
        <v>38</v>
      </c>
      <c r="B39">
        <f>'60-Month Forecast'!D57</f>
        <v/>
      </c>
      <c r="C39">
        <f>'60-Month Forecast'!E57</f>
        <v/>
      </c>
      <c r="D39">
        <f>'60-Month Forecast'!F57</f>
        <v/>
      </c>
      <c r="E39">
        <f>'60-Month Forecast'!H57</f>
        <v/>
      </c>
      <c r="F39">
        <f>'60-Month Forecast'!J57</f>
        <v/>
      </c>
      <c r="G39">
        <f>'60-Month Forecast'!O57</f>
        <v/>
      </c>
      <c r="H39">
        <f>'60-Month Forecast'!P57</f>
        <v/>
      </c>
      <c r="I39">
        <f>'60-Month Forecast'!B57</f>
        <v/>
      </c>
    </row>
    <row r="40">
      <c r="A40" t="n">
        <v>39</v>
      </c>
      <c r="B40">
        <f>'60-Month Forecast'!D58</f>
        <v/>
      </c>
      <c r="C40">
        <f>'60-Month Forecast'!E58</f>
        <v/>
      </c>
      <c r="D40">
        <f>'60-Month Forecast'!F58</f>
        <v/>
      </c>
      <c r="E40">
        <f>'60-Month Forecast'!H58</f>
        <v/>
      </c>
      <c r="F40">
        <f>'60-Month Forecast'!J58</f>
        <v/>
      </c>
      <c r="G40">
        <f>'60-Month Forecast'!O58</f>
        <v/>
      </c>
      <c r="H40">
        <f>'60-Month Forecast'!P58</f>
        <v/>
      </c>
      <c r="I40">
        <f>'60-Month Forecast'!B58</f>
        <v/>
      </c>
    </row>
    <row r="41">
      <c r="A41" t="n">
        <v>40</v>
      </c>
      <c r="B41">
        <f>'60-Month Forecast'!D59</f>
        <v/>
      </c>
      <c r="C41">
        <f>'60-Month Forecast'!E59</f>
        <v/>
      </c>
      <c r="D41">
        <f>'60-Month Forecast'!F59</f>
        <v/>
      </c>
      <c r="E41">
        <f>'60-Month Forecast'!H59</f>
        <v/>
      </c>
      <c r="F41">
        <f>'60-Month Forecast'!J59</f>
        <v/>
      </c>
      <c r="G41">
        <f>'60-Month Forecast'!O59</f>
        <v/>
      </c>
      <c r="H41">
        <f>'60-Month Forecast'!P59</f>
        <v/>
      </c>
      <c r="I41">
        <f>'60-Month Forecast'!B59</f>
        <v/>
      </c>
    </row>
    <row r="42">
      <c r="A42" t="n">
        <v>41</v>
      </c>
      <c r="B42">
        <f>'60-Month Forecast'!D60</f>
        <v/>
      </c>
      <c r="C42">
        <f>'60-Month Forecast'!E60</f>
        <v/>
      </c>
      <c r="D42">
        <f>'60-Month Forecast'!F60</f>
        <v/>
      </c>
      <c r="E42">
        <f>'60-Month Forecast'!H60</f>
        <v/>
      </c>
      <c r="F42">
        <f>'60-Month Forecast'!J60</f>
        <v/>
      </c>
      <c r="G42">
        <f>'60-Month Forecast'!O60</f>
        <v/>
      </c>
      <c r="H42">
        <f>'60-Month Forecast'!P60</f>
        <v/>
      </c>
      <c r="I42">
        <f>'60-Month Forecast'!B60</f>
        <v/>
      </c>
    </row>
    <row r="43">
      <c r="A43" t="n">
        <v>42</v>
      </c>
      <c r="B43">
        <f>'60-Month Forecast'!D61</f>
        <v/>
      </c>
      <c r="C43">
        <f>'60-Month Forecast'!E61</f>
        <v/>
      </c>
      <c r="D43">
        <f>'60-Month Forecast'!F61</f>
        <v/>
      </c>
      <c r="E43">
        <f>'60-Month Forecast'!H61</f>
        <v/>
      </c>
      <c r="F43">
        <f>'60-Month Forecast'!J61</f>
        <v/>
      </c>
      <c r="G43">
        <f>'60-Month Forecast'!O61</f>
        <v/>
      </c>
      <c r="H43">
        <f>'60-Month Forecast'!P61</f>
        <v/>
      </c>
      <c r="I43">
        <f>'60-Month Forecast'!B61</f>
        <v/>
      </c>
    </row>
    <row r="44">
      <c r="A44" t="n">
        <v>43</v>
      </c>
      <c r="B44">
        <f>'60-Month Forecast'!D62</f>
        <v/>
      </c>
      <c r="C44">
        <f>'60-Month Forecast'!E62</f>
        <v/>
      </c>
      <c r="D44">
        <f>'60-Month Forecast'!F62</f>
        <v/>
      </c>
      <c r="E44">
        <f>'60-Month Forecast'!H62</f>
        <v/>
      </c>
      <c r="F44">
        <f>'60-Month Forecast'!J62</f>
        <v/>
      </c>
      <c r="G44">
        <f>'60-Month Forecast'!O62</f>
        <v/>
      </c>
      <c r="H44">
        <f>'60-Month Forecast'!P62</f>
        <v/>
      </c>
      <c r="I44">
        <f>'60-Month Forecast'!B62</f>
        <v/>
      </c>
    </row>
    <row r="45">
      <c r="A45" t="n">
        <v>44</v>
      </c>
      <c r="B45">
        <f>'60-Month Forecast'!D63</f>
        <v/>
      </c>
      <c r="C45">
        <f>'60-Month Forecast'!E63</f>
        <v/>
      </c>
      <c r="D45">
        <f>'60-Month Forecast'!F63</f>
        <v/>
      </c>
      <c r="E45">
        <f>'60-Month Forecast'!H63</f>
        <v/>
      </c>
      <c r="F45">
        <f>'60-Month Forecast'!J63</f>
        <v/>
      </c>
      <c r="G45">
        <f>'60-Month Forecast'!O63</f>
        <v/>
      </c>
      <c r="H45">
        <f>'60-Month Forecast'!P63</f>
        <v/>
      </c>
      <c r="I45">
        <f>'60-Month Forecast'!B63</f>
        <v/>
      </c>
    </row>
    <row r="46">
      <c r="A46" t="n">
        <v>45</v>
      </c>
      <c r="B46">
        <f>'60-Month Forecast'!D64</f>
        <v/>
      </c>
      <c r="C46">
        <f>'60-Month Forecast'!E64</f>
        <v/>
      </c>
      <c r="D46">
        <f>'60-Month Forecast'!F64</f>
        <v/>
      </c>
      <c r="E46">
        <f>'60-Month Forecast'!H64</f>
        <v/>
      </c>
      <c r="F46">
        <f>'60-Month Forecast'!J64</f>
        <v/>
      </c>
      <c r="G46">
        <f>'60-Month Forecast'!O64</f>
        <v/>
      </c>
      <c r="H46">
        <f>'60-Month Forecast'!P64</f>
        <v/>
      </c>
      <c r="I46">
        <f>'60-Month Forecast'!B64</f>
        <v/>
      </c>
    </row>
    <row r="47">
      <c r="A47" t="n">
        <v>46</v>
      </c>
      <c r="B47">
        <f>'60-Month Forecast'!D65</f>
        <v/>
      </c>
      <c r="C47">
        <f>'60-Month Forecast'!E65</f>
        <v/>
      </c>
      <c r="D47">
        <f>'60-Month Forecast'!F65</f>
        <v/>
      </c>
      <c r="E47">
        <f>'60-Month Forecast'!H65</f>
        <v/>
      </c>
      <c r="F47">
        <f>'60-Month Forecast'!J65</f>
        <v/>
      </c>
      <c r="G47">
        <f>'60-Month Forecast'!O65</f>
        <v/>
      </c>
      <c r="H47">
        <f>'60-Month Forecast'!P65</f>
        <v/>
      </c>
      <c r="I47">
        <f>'60-Month Forecast'!B65</f>
        <v/>
      </c>
    </row>
    <row r="48">
      <c r="A48" t="n">
        <v>47</v>
      </c>
      <c r="B48">
        <f>'60-Month Forecast'!D66</f>
        <v/>
      </c>
      <c r="C48">
        <f>'60-Month Forecast'!E66</f>
        <v/>
      </c>
      <c r="D48">
        <f>'60-Month Forecast'!F66</f>
        <v/>
      </c>
      <c r="E48">
        <f>'60-Month Forecast'!H66</f>
        <v/>
      </c>
      <c r="F48">
        <f>'60-Month Forecast'!J66</f>
        <v/>
      </c>
      <c r="G48">
        <f>'60-Month Forecast'!O66</f>
        <v/>
      </c>
      <c r="H48">
        <f>'60-Month Forecast'!P66</f>
        <v/>
      </c>
      <c r="I48">
        <f>'60-Month Forecast'!B66</f>
        <v/>
      </c>
    </row>
    <row r="49">
      <c r="A49" t="n">
        <v>48</v>
      </c>
      <c r="B49">
        <f>'60-Month Forecast'!D67</f>
        <v/>
      </c>
      <c r="C49">
        <f>'60-Month Forecast'!E67</f>
        <v/>
      </c>
      <c r="D49">
        <f>'60-Month Forecast'!F67</f>
        <v/>
      </c>
      <c r="E49">
        <f>'60-Month Forecast'!H67</f>
        <v/>
      </c>
      <c r="F49">
        <f>'60-Month Forecast'!J67</f>
        <v/>
      </c>
      <c r="G49">
        <f>'60-Month Forecast'!O67</f>
        <v/>
      </c>
      <c r="H49">
        <f>'60-Month Forecast'!P67</f>
        <v/>
      </c>
      <c r="I49">
        <f>'60-Month Forecast'!B67</f>
        <v/>
      </c>
    </row>
    <row r="50">
      <c r="A50" t="n">
        <v>49</v>
      </c>
      <c r="B50">
        <f>'60-Month Forecast'!D68</f>
        <v/>
      </c>
      <c r="C50">
        <f>'60-Month Forecast'!E68</f>
        <v/>
      </c>
      <c r="D50">
        <f>'60-Month Forecast'!F68</f>
        <v/>
      </c>
      <c r="E50">
        <f>'60-Month Forecast'!H68</f>
        <v/>
      </c>
      <c r="F50">
        <f>'60-Month Forecast'!J68</f>
        <v/>
      </c>
      <c r="G50">
        <f>'60-Month Forecast'!O68</f>
        <v/>
      </c>
      <c r="H50">
        <f>'60-Month Forecast'!P68</f>
        <v/>
      </c>
      <c r="I50">
        <f>'60-Month Forecast'!B68</f>
        <v/>
      </c>
    </row>
    <row r="51">
      <c r="A51" t="n">
        <v>50</v>
      </c>
      <c r="B51">
        <f>'60-Month Forecast'!D69</f>
        <v/>
      </c>
      <c r="C51">
        <f>'60-Month Forecast'!E69</f>
        <v/>
      </c>
      <c r="D51">
        <f>'60-Month Forecast'!F69</f>
        <v/>
      </c>
      <c r="E51">
        <f>'60-Month Forecast'!H69</f>
        <v/>
      </c>
      <c r="F51">
        <f>'60-Month Forecast'!J69</f>
        <v/>
      </c>
      <c r="G51">
        <f>'60-Month Forecast'!O69</f>
        <v/>
      </c>
      <c r="H51">
        <f>'60-Month Forecast'!P69</f>
        <v/>
      </c>
      <c r="I51">
        <f>'60-Month Forecast'!B69</f>
        <v/>
      </c>
    </row>
    <row r="52">
      <c r="A52" t="n">
        <v>51</v>
      </c>
      <c r="B52">
        <f>'60-Month Forecast'!D70</f>
        <v/>
      </c>
      <c r="C52">
        <f>'60-Month Forecast'!E70</f>
        <v/>
      </c>
      <c r="D52">
        <f>'60-Month Forecast'!F70</f>
        <v/>
      </c>
      <c r="E52">
        <f>'60-Month Forecast'!H70</f>
        <v/>
      </c>
      <c r="F52">
        <f>'60-Month Forecast'!J70</f>
        <v/>
      </c>
      <c r="G52">
        <f>'60-Month Forecast'!O70</f>
        <v/>
      </c>
      <c r="H52">
        <f>'60-Month Forecast'!P70</f>
        <v/>
      </c>
      <c r="I52">
        <f>'60-Month Forecast'!B70</f>
        <v/>
      </c>
    </row>
    <row r="53">
      <c r="A53" t="n">
        <v>52</v>
      </c>
      <c r="B53">
        <f>'60-Month Forecast'!D71</f>
        <v/>
      </c>
      <c r="C53">
        <f>'60-Month Forecast'!E71</f>
        <v/>
      </c>
      <c r="D53">
        <f>'60-Month Forecast'!F71</f>
        <v/>
      </c>
      <c r="E53">
        <f>'60-Month Forecast'!H71</f>
        <v/>
      </c>
      <c r="F53">
        <f>'60-Month Forecast'!J71</f>
        <v/>
      </c>
      <c r="G53">
        <f>'60-Month Forecast'!O71</f>
        <v/>
      </c>
      <c r="H53">
        <f>'60-Month Forecast'!P71</f>
        <v/>
      </c>
      <c r="I53">
        <f>'60-Month Forecast'!B71</f>
        <v/>
      </c>
    </row>
    <row r="54">
      <c r="A54" t="n">
        <v>53</v>
      </c>
      <c r="B54">
        <f>'60-Month Forecast'!D72</f>
        <v/>
      </c>
      <c r="C54">
        <f>'60-Month Forecast'!E72</f>
        <v/>
      </c>
      <c r="D54">
        <f>'60-Month Forecast'!F72</f>
        <v/>
      </c>
      <c r="E54">
        <f>'60-Month Forecast'!H72</f>
        <v/>
      </c>
      <c r="F54">
        <f>'60-Month Forecast'!J72</f>
        <v/>
      </c>
      <c r="G54">
        <f>'60-Month Forecast'!O72</f>
        <v/>
      </c>
      <c r="H54">
        <f>'60-Month Forecast'!P72</f>
        <v/>
      </c>
      <c r="I54">
        <f>'60-Month Forecast'!B72</f>
        <v/>
      </c>
    </row>
    <row r="55">
      <c r="A55" t="n">
        <v>54</v>
      </c>
      <c r="B55">
        <f>'60-Month Forecast'!D73</f>
        <v/>
      </c>
      <c r="C55">
        <f>'60-Month Forecast'!E73</f>
        <v/>
      </c>
      <c r="D55">
        <f>'60-Month Forecast'!F73</f>
        <v/>
      </c>
      <c r="E55">
        <f>'60-Month Forecast'!H73</f>
        <v/>
      </c>
      <c r="F55">
        <f>'60-Month Forecast'!J73</f>
        <v/>
      </c>
      <c r="G55">
        <f>'60-Month Forecast'!O73</f>
        <v/>
      </c>
      <c r="H55">
        <f>'60-Month Forecast'!P73</f>
        <v/>
      </c>
      <c r="I55">
        <f>'60-Month Forecast'!B73</f>
        <v/>
      </c>
    </row>
    <row r="56">
      <c r="A56" t="n">
        <v>55</v>
      </c>
      <c r="B56">
        <f>'60-Month Forecast'!D74</f>
        <v/>
      </c>
      <c r="C56">
        <f>'60-Month Forecast'!E74</f>
        <v/>
      </c>
      <c r="D56">
        <f>'60-Month Forecast'!F74</f>
        <v/>
      </c>
      <c r="E56">
        <f>'60-Month Forecast'!H74</f>
        <v/>
      </c>
      <c r="F56">
        <f>'60-Month Forecast'!J74</f>
        <v/>
      </c>
      <c r="G56">
        <f>'60-Month Forecast'!O74</f>
        <v/>
      </c>
      <c r="H56">
        <f>'60-Month Forecast'!P74</f>
        <v/>
      </c>
      <c r="I56">
        <f>'60-Month Forecast'!B74</f>
        <v/>
      </c>
    </row>
    <row r="57">
      <c r="A57" t="n">
        <v>56</v>
      </c>
      <c r="B57">
        <f>'60-Month Forecast'!D75</f>
        <v/>
      </c>
      <c r="C57">
        <f>'60-Month Forecast'!E75</f>
        <v/>
      </c>
      <c r="D57">
        <f>'60-Month Forecast'!F75</f>
        <v/>
      </c>
      <c r="E57">
        <f>'60-Month Forecast'!H75</f>
        <v/>
      </c>
      <c r="F57">
        <f>'60-Month Forecast'!J75</f>
        <v/>
      </c>
      <c r="G57">
        <f>'60-Month Forecast'!O75</f>
        <v/>
      </c>
      <c r="H57">
        <f>'60-Month Forecast'!P75</f>
        <v/>
      </c>
      <c r="I57">
        <f>'60-Month Forecast'!B75</f>
        <v/>
      </c>
    </row>
    <row r="58">
      <c r="A58" t="n">
        <v>57</v>
      </c>
      <c r="B58">
        <f>'60-Month Forecast'!D76</f>
        <v/>
      </c>
      <c r="C58">
        <f>'60-Month Forecast'!E76</f>
        <v/>
      </c>
      <c r="D58">
        <f>'60-Month Forecast'!F76</f>
        <v/>
      </c>
      <c r="E58">
        <f>'60-Month Forecast'!H76</f>
        <v/>
      </c>
      <c r="F58">
        <f>'60-Month Forecast'!J76</f>
        <v/>
      </c>
      <c r="G58">
        <f>'60-Month Forecast'!O76</f>
        <v/>
      </c>
      <c r="H58">
        <f>'60-Month Forecast'!P76</f>
        <v/>
      </c>
      <c r="I58">
        <f>'60-Month Forecast'!B76</f>
        <v/>
      </c>
    </row>
    <row r="59">
      <c r="A59" t="n">
        <v>58</v>
      </c>
      <c r="B59">
        <f>'60-Month Forecast'!D77</f>
        <v/>
      </c>
      <c r="C59">
        <f>'60-Month Forecast'!E77</f>
        <v/>
      </c>
      <c r="D59">
        <f>'60-Month Forecast'!F77</f>
        <v/>
      </c>
      <c r="E59">
        <f>'60-Month Forecast'!H77</f>
        <v/>
      </c>
      <c r="F59">
        <f>'60-Month Forecast'!J77</f>
        <v/>
      </c>
      <c r="G59">
        <f>'60-Month Forecast'!O77</f>
        <v/>
      </c>
      <c r="H59">
        <f>'60-Month Forecast'!P77</f>
        <v/>
      </c>
      <c r="I59">
        <f>'60-Month Forecast'!B77</f>
        <v/>
      </c>
    </row>
    <row r="60">
      <c r="A60" t="n">
        <v>59</v>
      </c>
      <c r="B60">
        <f>'60-Month Forecast'!D78</f>
        <v/>
      </c>
      <c r="C60">
        <f>'60-Month Forecast'!E78</f>
        <v/>
      </c>
      <c r="D60">
        <f>'60-Month Forecast'!F78</f>
        <v/>
      </c>
      <c r="E60">
        <f>'60-Month Forecast'!H78</f>
        <v/>
      </c>
      <c r="F60">
        <f>'60-Month Forecast'!J78</f>
        <v/>
      </c>
      <c r="G60">
        <f>'60-Month Forecast'!O78</f>
        <v/>
      </c>
      <c r="H60">
        <f>'60-Month Forecast'!P78</f>
        <v/>
      </c>
      <c r="I60">
        <f>'60-Month Forecast'!B78</f>
        <v/>
      </c>
    </row>
    <row r="61">
      <c r="A61" t="n">
        <v>60</v>
      </c>
      <c r="B61">
        <f>'60-Month Forecast'!D79</f>
        <v/>
      </c>
      <c r="C61">
        <f>'60-Month Forecast'!E79</f>
        <v/>
      </c>
      <c r="D61">
        <f>'60-Month Forecast'!F79</f>
        <v/>
      </c>
      <c r="E61">
        <f>'60-Month Forecast'!H79</f>
        <v/>
      </c>
      <c r="F61">
        <f>'60-Month Forecast'!J79</f>
        <v/>
      </c>
      <c r="G61">
        <f>'60-Month Forecast'!O79</f>
        <v/>
      </c>
      <c r="H61">
        <f>'60-Month Forecast'!P79</f>
        <v/>
      </c>
      <c r="I61">
        <f>'60-Month Forecast'!B79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2026-05-14T01:16:58Z</dcterms:created>
  <dcterms:modified xsi:type="dcterms:W3CDTF">2026-05-14T01:16:58Z</dcterms:modified>
</cp:coreProperties>
</file>